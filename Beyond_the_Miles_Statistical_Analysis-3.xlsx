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iranniek/Downloads/"/>
    </mc:Choice>
  </mc:AlternateContent>
  <xr:revisionPtr revIDLastSave="0" documentId="13_ncr:1_{08EBFB84-F6D9-7E47-A1CC-7CB39C7E03D5}" xr6:coauthVersionLast="47" xr6:coauthVersionMax="47" xr10:uidLastSave="{00000000-0000-0000-0000-000000000000}"/>
  <bookViews>
    <workbookView xWindow="0" yWindow="680" windowWidth="34200" windowHeight="21460" tabRatio="500" activeTab="1" xr2:uid="{00000000-000D-0000-FFFF-FFFF00000000}"/>
  </bookViews>
  <sheets>
    <sheet name="Raw Data " sheetId="2" r:id="rId1"/>
    <sheet name="Coded Data and Full analysis 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1" i="1" l="1"/>
  <c r="C291" i="1"/>
  <c r="B291" i="1"/>
  <c r="E291" i="1" s="1"/>
  <c r="C290" i="1"/>
  <c r="C292" i="1" s="1"/>
  <c r="B290" i="1"/>
  <c r="B292" i="1" s="1"/>
  <c r="B283" i="1"/>
  <c r="B265" i="1"/>
  <c r="B247" i="1"/>
  <c r="C237" i="1"/>
  <c r="B237" i="1"/>
  <c r="C236" i="1"/>
  <c r="C238" i="1" s="1"/>
  <c r="B236" i="1"/>
  <c r="B229" i="1"/>
  <c r="C216" i="1"/>
  <c r="B216" i="1"/>
  <c r="C215" i="1"/>
  <c r="B215" i="1"/>
  <c r="E215" i="1" s="1"/>
  <c r="C214" i="1"/>
  <c r="B214" i="1"/>
  <c r="C213" i="1"/>
  <c r="B213" i="1"/>
  <c r="E213" i="1" s="1"/>
  <c r="C212" i="1"/>
  <c r="B212" i="1"/>
  <c r="E212" i="1" s="1"/>
  <c r="D195" i="1"/>
  <c r="F195" i="1" s="1"/>
  <c r="C195" i="1"/>
  <c r="D194" i="1"/>
  <c r="F194" i="1" s="1"/>
  <c r="C194" i="1"/>
  <c r="D193" i="1"/>
  <c r="F193" i="1" s="1"/>
  <c r="C193" i="1"/>
  <c r="F192" i="1"/>
  <c r="E192" i="1"/>
  <c r="D192" i="1"/>
  <c r="C192" i="1"/>
  <c r="D191" i="1"/>
  <c r="F191" i="1" s="1"/>
  <c r="C191" i="1"/>
  <c r="D175" i="1"/>
  <c r="C175" i="1"/>
  <c r="F174" i="1"/>
  <c r="E174" i="1"/>
  <c r="D174" i="1"/>
  <c r="C174" i="1"/>
  <c r="D173" i="1"/>
  <c r="C173" i="1"/>
  <c r="D172" i="1"/>
  <c r="F172" i="1" s="1"/>
  <c r="C172" i="1"/>
  <c r="D171" i="1"/>
  <c r="C171" i="1"/>
  <c r="C164" i="1"/>
  <c r="D314" i="1" s="1"/>
  <c r="B164" i="1"/>
  <c r="E164" i="1" s="1"/>
  <c r="C161" i="1"/>
  <c r="B161" i="1"/>
  <c r="E161" i="1" s="1"/>
  <c r="C160" i="1"/>
  <c r="D160" i="1" s="1"/>
  <c r="F160" i="1" s="1"/>
  <c r="G160" i="1" s="1"/>
  <c r="B160" i="1"/>
  <c r="E160" i="1" s="1"/>
  <c r="B151" i="1"/>
  <c r="B148" i="1"/>
  <c r="B147" i="1"/>
  <c r="B146" i="1"/>
  <c r="B145" i="1"/>
  <c r="B144" i="1"/>
  <c r="B143" i="1"/>
  <c r="B142" i="1"/>
  <c r="B141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E104" i="1"/>
  <c r="D104" i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AS76" i="1"/>
  <c r="AV76" i="1" s="1"/>
  <c r="AR76" i="1"/>
  <c r="AU76" i="1" s="1"/>
  <c r="AS75" i="1"/>
  <c r="AV75" i="1" s="1"/>
  <c r="AR75" i="1"/>
  <c r="AU75" i="1" s="1"/>
  <c r="AS74" i="1"/>
  <c r="AV74" i="1" s="1"/>
  <c r="AR74" i="1"/>
  <c r="AU74" i="1" s="1"/>
  <c r="AV73" i="1"/>
  <c r="AU73" i="1"/>
  <c r="AS73" i="1"/>
  <c r="AR73" i="1"/>
  <c r="AS72" i="1"/>
  <c r="AV72" i="1" s="1"/>
  <c r="AR72" i="1"/>
  <c r="AU72" i="1" s="1"/>
  <c r="AS71" i="1"/>
  <c r="AV71" i="1" s="1"/>
  <c r="AR71" i="1"/>
  <c r="AU71" i="1" s="1"/>
  <c r="AS70" i="1"/>
  <c r="AV70" i="1" s="1"/>
  <c r="AR70" i="1"/>
  <c r="AU70" i="1" s="1"/>
  <c r="AS69" i="1"/>
  <c r="AV69" i="1" s="1"/>
  <c r="AR69" i="1"/>
  <c r="AU69" i="1" s="1"/>
  <c r="AS68" i="1"/>
  <c r="AV68" i="1" s="1"/>
  <c r="AR68" i="1"/>
  <c r="AU68" i="1" s="1"/>
  <c r="AS67" i="1"/>
  <c r="AV67" i="1" s="1"/>
  <c r="AR67" i="1"/>
  <c r="AU67" i="1" s="1"/>
  <c r="AS66" i="1"/>
  <c r="AV66" i="1" s="1"/>
  <c r="AR66" i="1"/>
  <c r="AU66" i="1" s="1"/>
  <c r="AS65" i="1"/>
  <c r="AV65" i="1" s="1"/>
  <c r="AR65" i="1"/>
  <c r="AU65" i="1" s="1"/>
  <c r="AS64" i="1"/>
  <c r="AV64" i="1" s="1"/>
  <c r="AR64" i="1"/>
  <c r="AU64" i="1" s="1"/>
  <c r="AS63" i="1"/>
  <c r="AV63" i="1" s="1"/>
  <c r="AR63" i="1"/>
  <c r="AU63" i="1" s="1"/>
  <c r="AU62" i="1"/>
  <c r="AS62" i="1"/>
  <c r="AV62" i="1" s="1"/>
  <c r="AR62" i="1"/>
  <c r="AS61" i="1"/>
  <c r="AV61" i="1" s="1"/>
  <c r="AR61" i="1"/>
  <c r="AU61" i="1" s="1"/>
  <c r="AS60" i="1"/>
  <c r="AV60" i="1" s="1"/>
  <c r="AR60" i="1"/>
  <c r="AU60" i="1" s="1"/>
  <c r="AV59" i="1"/>
  <c r="AU59" i="1"/>
  <c r="AS59" i="1"/>
  <c r="AR59" i="1"/>
  <c r="AS58" i="1"/>
  <c r="AV58" i="1" s="1"/>
  <c r="AR58" i="1"/>
  <c r="AU58" i="1" s="1"/>
  <c r="AS57" i="1"/>
  <c r="AV57" i="1" s="1"/>
  <c r="AR57" i="1"/>
  <c r="AU57" i="1" s="1"/>
  <c r="AS56" i="1"/>
  <c r="AV56" i="1" s="1"/>
  <c r="AR56" i="1"/>
  <c r="AU56" i="1" s="1"/>
  <c r="AS55" i="1"/>
  <c r="AV55" i="1" s="1"/>
  <c r="AR55" i="1"/>
  <c r="AU55" i="1" s="1"/>
  <c r="AS54" i="1"/>
  <c r="AV54" i="1" s="1"/>
  <c r="AR54" i="1"/>
  <c r="AU54" i="1" s="1"/>
  <c r="AS53" i="1"/>
  <c r="AV53" i="1" s="1"/>
  <c r="AR53" i="1"/>
  <c r="AU53" i="1" s="1"/>
  <c r="AS52" i="1"/>
  <c r="AV52" i="1" s="1"/>
  <c r="AR52" i="1"/>
  <c r="AU52" i="1" s="1"/>
  <c r="AV51" i="1"/>
  <c r="AS51" i="1"/>
  <c r="AR51" i="1"/>
  <c r="AU51" i="1" s="1"/>
  <c r="AS50" i="1"/>
  <c r="AV50" i="1" s="1"/>
  <c r="AR50" i="1"/>
  <c r="AU50" i="1" s="1"/>
  <c r="AS49" i="1"/>
  <c r="AV49" i="1" s="1"/>
  <c r="AR49" i="1"/>
  <c r="AU49" i="1" s="1"/>
  <c r="AS48" i="1"/>
  <c r="AV48" i="1" s="1"/>
  <c r="AR48" i="1"/>
  <c r="AU48" i="1" s="1"/>
  <c r="AS47" i="1"/>
  <c r="AV47" i="1" s="1"/>
  <c r="AR47" i="1"/>
  <c r="AU47" i="1" s="1"/>
  <c r="AS46" i="1"/>
  <c r="AV46" i="1" s="1"/>
  <c r="AR46" i="1"/>
  <c r="AU46" i="1" s="1"/>
  <c r="AS45" i="1"/>
  <c r="AV45" i="1" s="1"/>
  <c r="AR45" i="1"/>
  <c r="AU45" i="1" s="1"/>
  <c r="AS44" i="1"/>
  <c r="AV44" i="1" s="1"/>
  <c r="AR44" i="1"/>
  <c r="AU44" i="1" s="1"/>
  <c r="AS43" i="1"/>
  <c r="AV43" i="1" s="1"/>
  <c r="AR43" i="1"/>
  <c r="AU43" i="1" s="1"/>
  <c r="AS42" i="1"/>
  <c r="AV42" i="1" s="1"/>
  <c r="AR42" i="1"/>
  <c r="AU42" i="1" s="1"/>
  <c r="AS41" i="1"/>
  <c r="AV41" i="1" s="1"/>
  <c r="AR41" i="1"/>
  <c r="AU41" i="1" s="1"/>
  <c r="AS40" i="1"/>
  <c r="AV40" i="1" s="1"/>
  <c r="AR40" i="1"/>
  <c r="AU40" i="1" s="1"/>
  <c r="AS39" i="1"/>
  <c r="AV39" i="1" s="1"/>
  <c r="AR39" i="1"/>
  <c r="AU39" i="1" s="1"/>
  <c r="AS38" i="1"/>
  <c r="AV38" i="1" s="1"/>
  <c r="AR38" i="1"/>
  <c r="AU38" i="1" s="1"/>
  <c r="AS37" i="1"/>
  <c r="AV37" i="1" s="1"/>
  <c r="AR37" i="1"/>
  <c r="AU37" i="1" s="1"/>
  <c r="AS36" i="1"/>
  <c r="AV36" i="1" s="1"/>
  <c r="AR36" i="1"/>
  <c r="AU36" i="1" s="1"/>
  <c r="AS35" i="1"/>
  <c r="AV35" i="1" s="1"/>
  <c r="AR35" i="1"/>
  <c r="AU35" i="1" s="1"/>
  <c r="AS34" i="1"/>
  <c r="AV34" i="1" s="1"/>
  <c r="AR34" i="1"/>
  <c r="AU34" i="1" s="1"/>
  <c r="AS33" i="1"/>
  <c r="AV33" i="1" s="1"/>
  <c r="AR33" i="1"/>
  <c r="AU33" i="1" s="1"/>
  <c r="AS32" i="1"/>
  <c r="AV32" i="1" s="1"/>
  <c r="AR32" i="1"/>
  <c r="AU32" i="1" s="1"/>
  <c r="AS31" i="1"/>
  <c r="AV31" i="1" s="1"/>
  <c r="AR31" i="1"/>
  <c r="AU31" i="1" s="1"/>
  <c r="AU30" i="1"/>
  <c r="AS30" i="1"/>
  <c r="AV30" i="1" s="1"/>
  <c r="AR30" i="1"/>
  <c r="AS29" i="1"/>
  <c r="AV29" i="1" s="1"/>
  <c r="AR29" i="1"/>
  <c r="AU29" i="1" s="1"/>
  <c r="AS28" i="1"/>
  <c r="AV28" i="1" s="1"/>
  <c r="AR28" i="1"/>
  <c r="AU28" i="1" s="1"/>
  <c r="AV27" i="1"/>
  <c r="AU27" i="1"/>
  <c r="AS27" i="1"/>
  <c r="AR27" i="1"/>
  <c r="AS26" i="1"/>
  <c r="AV26" i="1" s="1"/>
  <c r="AR26" i="1"/>
  <c r="AU26" i="1" s="1"/>
  <c r="AS25" i="1"/>
  <c r="AV25" i="1" s="1"/>
  <c r="AR25" i="1"/>
  <c r="AU25" i="1" s="1"/>
  <c r="AS24" i="1"/>
  <c r="AV24" i="1" s="1"/>
  <c r="AR24" i="1"/>
  <c r="AU24" i="1" s="1"/>
  <c r="AS23" i="1"/>
  <c r="AV23" i="1" s="1"/>
  <c r="AR23" i="1"/>
  <c r="AU23" i="1" s="1"/>
  <c r="AS22" i="1"/>
  <c r="AV22" i="1" s="1"/>
  <c r="AR22" i="1"/>
  <c r="AU22" i="1" s="1"/>
  <c r="AS21" i="1"/>
  <c r="AV21" i="1" s="1"/>
  <c r="AR21" i="1"/>
  <c r="AU21" i="1" s="1"/>
  <c r="AS20" i="1"/>
  <c r="AV20" i="1" s="1"/>
  <c r="AR20" i="1"/>
  <c r="AU20" i="1" s="1"/>
  <c r="AV19" i="1"/>
  <c r="AS19" i="1"/>
  <c r="AR19" i="1"/>
  <c r="AU19" i="1" s="1"/>
  <c r="AS18" i="1"/>
  <c r="AV18" i="1" s="1"/>
  <c r="AR18" i="1"/>
  <c r="AU18" i="1" s="1"/>
  <c r="AS17" i="1"/>
  <c r="AV17" i="1" s="1"/>
  <c r="AR17" i="1"/>
  <c r="AU17" i="1" s="1"/>
  <c r="AS16" i="1"/>
  <c r="AV16" i="1" s="1"/>
  <c r="AR16" i="1"/>
  <c r="AU16" i="1" s="1"/>
  <c r="AS15" i="1"/>
  <c r="AV15" i="1" s="1"/>
  <c r="AR15" i="1"/>
  <c r="AU15" i="1" s="1"/>
  <c r="AS14" i="1"/>
  <c r="AV14" i="1" s="1"/>
  <c r="AR14" i="1"/>
  <c r="AU14" i="1" s="1"/>
  <c r="AS13" i="1"/>
  <c r="AV13" i="1" s="1"/>
  <c r="AR13" i="1"/>
  <c r="AU13" i="1" s="1"/>
  <c r="AS12" i="1"/>
  <c r="AV12" i="1" s="1"/>
  <c r="AR12" i="1"/>
  <c r="AU12" i="1" s="1"/>
  <c r="AS11" i="1"/>
  <c r="AV11" i="1" s="1"/>
  <c r="AR11" i="1"/>
  <c r="AU11" i="1" s="1"/>
  <c r="AS10" i="1"/>
  <c r="AV10" i="1" s="1"/>
  <c r="AR10" i="1"/>
  <c r="AU10" i="1" s="1"/>
  <c r="AS9" i="1"/>
  <c r="AV9" i="1" s="1"/>
  <c r="AR9" i="1"/>
  <c r="AU9" i="1" s="1"/>
  <c r="AS8" i="1"/>
  <c r="AR8" i="1"/>
  <c r="AU8" i="1" s="1"/>
  <c r="AS7" i="1"/>
  <c r="AV7" i="1" s="1"/>
  <c r="AR7" i="1"/>
  <c r="B150" i="1" l="1"/>
  <c r="B153" i="1" s="1"/>
  <c r="B154" i="1" s="1"/>
  <c r="B238" i="1"/>
  <c r="C217" i="1"/>
  <c r="E172" i="1"/>
  <c r="B201" i="1"/>
  <c r="E237" i="1"/>
  <c r="E290" i="1"/>
  <c r="E216" i="1"/>
  <c r="B162" i="1"/>
  <c r="E162" i="1" s="1"/>
  <c r="H132" i="1"/>
  <c r="E194" i="1"/>
  <c r="E214" i="1"/>
  <c r="E217" i="1" s="1"/>
  <c r="C223" i="1" s="1"/>
  <c r="E236" i="1"/>
  <c r="G132" i="1"/>
  <c r="E238" i="1"/>
  <c r="B243" i="1" s="1"/>
  <c r="C163" i="1"/>
  <c r="D161" i="1"/>
  <c r="F161" i="1" s="1"/>
  <c r="G161" i="1" s="1"/>
  <c r="C196" i="1"/>
  <c r="D197" i="1" s="1"/>
  <c r="B200" i="1" s="1"/>
  <c r="AU7" i="1"/>
  <c r="F175" i="1"/>
  <c r="E175" i="1"/>
  <c r="E131" i="1"/>
  <c r="D131" i="1"/>
  <c r="C131" i="1"/>
  <c r="B131" i="1"/>
  <c r="C162" i="1"/>
  <c r="F131" i="1"/>
  <c r="E292" i="1"/>
  <c r="B297" i="1" s="1"/>
  <c r="B273" i="1"/>
  <c r="AV8" i="1"/>
  <c r="C272" i="1" s="1"/>
  <c r="C132" i="1"/>
  <c r="G131" i="1"/>
  <c r="F173" i="1"/>
  <c r="E173" i="1"/>
  <c r="C176" i="1"/>
  <c r="D177" i="1" s="1"/>
  <c r="B180" i="1" s="1"/>
  <c r="H131" i="1"/>
  <c r="B132" i="1"/>
  <c r="F171" i="1"/>
  <c r="E171" i="1"/>
  <c r="C243" i="1"/>
  <c r="B217" i="1"/>
  <c r="D132" i="1"/>
  <c r="E191" i="1"/>
  <c r="E193" i="1"/>
  <c r="E195" i="1"/>
  <c r="E132" i="1"/>
  <c r="B163" i="1"/>
  <c r="E163" i="1" s="1"/>
  <c r="D164" i="1"/>
  <c r="F164" i="1" s="1"/>
  <c r="F132" i="1"/>
  <c r="B296" i="1" l="1"/>
  <c r="C297" i="1"/>
  <c r="B181" i="1"/>
  <c r="C225" i="1"/>
  <c r="C222" i="1"/>
  <c r="C273" i="1"/>
  <c r="C274" i="1" s="1"/>
  <c r="C224" i="1"/>
  <c r="C221" i="1"/>
  <c r="B224" i="1"/>
  <c r="C296" i="1"/>
  <c r="B299" i="1" s="1"/>
  <c r="B302" i="1" s="1"/>
  <c r="B303" i="1" s="1"/>
  <c r="B182" i="1"/>
  <c r="D180" i="1"/>
  <c r="B221" i="1"/>
  <c r="D315" i="1"/>
  <c r="D313" i="1"/>
  <c r="D163" i="1"/>
  <c r="F163" i="1" s="1"/>
  <c r="D200" i="1"/>
  <c r="B202" i="1"/>
  <c r="E314" i="1"/>
  <c r="G164" i="1"/>
  <c r="F314" i="1" s="1"/>
  <c r="D312" i="1"/>
  <c r="D162" i="1"/>
  <c r="F162" i="1" s="1"/>
  <c r="B242" i="1"/>
  <c r="C242" i="1"/>
  <c r="B272" i="1"/>
  <c r="C254" i="1"/>
  <c r="B254" i="1"/>
  <c r="C255" i="1"/>
  <c r="B255" i="1"/>
  <c r="B223" i="1"/>
  <c r="C182" i="1"/>
  <c r="C181" i="1"/>
  <c r="C201" i="1"/>
  <c r="C202" i="1"/>
  <c r="B222" i="1"/>
  <c r="B225" i="1"/>
  <c r="E255" i="1" l="1"/>
  <c r="E273" i="1"/>
  <c r="F201" i="1"/>
  <c r="D201" i="1"/>
  <c r="B274" i="1"/>
  <c r="E272" i="1"/>
  <c r="E201" i="1"/>
  <c r="G201" i="1" s="1"/>
  <c r="E313" i="1"/>
  <c r="G163" i="1"/>
  <c r="F313" i="1" s="1"/>
  <c r="E312" i="1"/>
  <c r="G162" i="1"/>
  <c r="F312" i="1" s="1"/>
  <c r="B227" i="1"/>
  <c r="B230" i="1" s="1"/>
  <c r="B231" i="1" s="1"/>
  <c r="F181" i="1"/>
  <c r="B245" i="1"/>
  <c r="B248" i="1" s="1"/>
  <c r="B249" i="1" s="1"/>
  <c r="E254" i="1"/>
  <c r="B256" i="1"/>
  <c r="D181" i="1"/>
  <c r="E181" i="1" s="1"/>
  <c r="C256" i="1"/>
  <c r="G181" i="1" l="1"/>
  <c r="D310" i="1"/>
  <c r="E311" i="1"/>
  <c r="B204" i="1"/>
  <c r="F311" i="1" s="1"/>
  <c r="E274" i="1"/>
  <c r="C279" i="1" s="1"/>
  <c r="C278" i="1"/>
  <c r="E256" i="1"/>
  <c r="B261" i="1" s="1"/>
  <c r="D311" i="1"/>
  <c r="B278" i="1" l="1"/>
  <c r="B279" i="1"/>
  <c r="B260" i="1"/>
  <c r="E310" i="1"/>
  <c r="B184" i="1"/>
  <c r="F310" i="1" s="1"/>
  <c r="C260" i="1"/>
  <c r="C261" i="1"/>
  <c r="B263" i="1" l="1"/>
  <c r="B266" i="1" s="1"/>
  <c r="B267" i="1" s="1"/>
  <c r="B281" i="1"/>
  <c r="B284" i="1" s="1"/>
  <c r="B28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R6" authorId="0" shapeId="0" xr:uid="{00000000-0006-0000-0000-000001000000}">
      <text>
        <r>
          <rPr>
            <sz val="10"/>
            <rFont val="Arial"/>
            <family val="2"/>
          </rPr>
          <t>Not in the source file. Computed only because RQ-III needs it: average of the already-reverse-scored cultural items (K, M) plus the three positively-worded items (N, O, P).</t>
        </r>
      </text>
    </comment>
    <comment ref="AS6" authorId="0" shapeId="0" xr:uid="{00000000-0006-0000-0000-000002000000}">
      <text>
        <r>
          <rPr>
            <sz val="10"/>
            <rFont val="Arial"/>
            <family val="2"/>
          </rPr>
          <t>Not in the source file. Average of Q, T, U as given, plus R and S reverse-scored as 6-x (no pre-reversed version of these two exists in the source, unlike the cultural items).</t>
        </r>
      </text>
    </comment>
    <comment ref="AT6" authorId="0" shapeId="0" xr:uid="{00000000-0006-0000-0000-000003000000}">
      <text>
        <r>
          <rPr>
            <sz val="10"/>
            <rFont val="Arial"/>
            <family val="2"/>
          </rPr>
          <t>Not in the source file. Groups the free-text hometown state/UT (column D, 39 spelling variants) into Northeast India / Rest of India / Abroad, matching the study's own standardization.</t>
        </r>
      </text>
    </comment>
    <comment ref="AU6" authorId="0" shapeId="0" xr:uid="{00000000-0006-0000-0000-000004000000}">
      <text>
        <r>
          <rPr>
            <sz val="10"/>
            <rFont val="Arial"/>
            <family val="2"/>
          </rPr>
          <t>Not in the source file. High/Low split at score &gt;= 4, the same cutoff the source file itself uses for Belonging Category and Participation Category — applied here for the contingency table only.</t>
        </r>
      </text>
    </comment>
    <comment ref="AV6" authorId="0" shapeId="0" xr:uid="{00000000-0006-0000-0000-000005000000}">
      <text>
        <r>
          <rPr>
            <sz val="10"/>
            <rFont val="Arial"/>
            <family val="2"/>
          </rPr>
          <t>Not in the source file. Same &gt;= 4 High/Low cutoff as Cultural Experience Category, applied for the contingency table only.</t>
        </r>
      </text>
    </comment>
  </commentList>
</comments>
</file>

<file path=xl/sharedStrings.xml><?xml version="1.0" encoding="utf-8"?>
<sst xmlns="http://schemas.openxmlformats.org/spreadsheetml/2006/main" count="2833" uniqueCount="279">
  <si>
    <t>All source data and every test live below, in order. Every formula references cells on this sheet directly — no other tabs.</t>
  </si>
  <si>
    <t>1. CODED DATA — source file, verbatim (n = 70)</t>
  </si>
  <si>
    <t xml:space="preserve"> What is your current level of study?  </t>
  </si>
  <si>
    <t xml:space="preserve">What is your year of study?  </t>
  </si>
  <si>
    <t xml:space="preserve">What is your gender?  </t>
  </si>
  <si>
    <t xml:space="preserve">Which state/UT is your hometown in?  </t>
  </si>
  <si>
    <t xml:space="preserve">Approximately how far is your hometown from IIT Guwahati? </t>
  </si>
  <si>
    <t xml:space="preserve">What is your usual mode of travel when you visit your hometown?  </t>
  </si>
  <si>
    <t xml:space="preserve">Approximately how long does your usual journey from IIT Guwahati to your hometown take?  </t>
  </si>
  <si>
    <t xml:space="preserve">How 4 do you visit your hometown during a semester?  </t>
  </si>
  <si>
    <t xml:space="preserve">Approximately how much do you usually spend on a one-way journey from IIT Guwahati to your hometown?  </t>
  </si>
  <si>
    <t xml:space="preserve">Please indicate how much you agree or disagree with each of the following statements.
1 = Strongly Disagree | 2 = Disagree | 3 = Neither Agree nor Disagree | 4 = Agree | 5 = Strongly Agree [I find the culture at IIT Guwahati different from the culture at </t>
  </si>
  <si>
    <t>Reverse code</t>
  </si>
  <si>
    <t>Please indicate how much you agree or disagree with each of the following statements.
1 = Strongly Disagree | 2 = Disagree | 3 = Neither Agree nor Disagree | 4 = Agree | 5 = Strongly Agree [I 3 find it difficult to adjust to cultural differences at IIT Gu</t>
  </si>
  <si>
    <t>Reverse coded</t>
  </si>
  <si>
    <t>Please indicate how much you agree or disagree with each of the following statements.
1 = Strongly Disagree | 2 = Disagree | 3 = Neither Agree nor Disagree | 4 = Agree | 5 = Strongly Agree [I am comfortable interacting with students from different cultura</t>
  </si>
  <si>
    <t>Please indicate how much you agree or disagree with each of the following statements.
1 = Strongly Disagree | 2 = Disagree | 3 = Neither Agree nor Disagree | 4 = Agree | 5 = Strongly Agree [I have learned about cultures different from my own at IIT Guwaha</t>
  </si>
  <si>
    <t>Please indicate how much you agree or disagree with each of the following statements.
1 = Strongly Disagree | 2 = Disagree | 3 = Neither Agree nor Disagree | 4 = Agree | 5 = Strongly Agree [I feel that students from different cultural backgrounds are acce</t>
  </si>
  <si>
    <t>Please indicate how much you agree or disagree with each of the following statements.
1 = Strongly Disagree | 2 = Disagree | 3 = Neither Agree nor Disagree | 4 = Agree | 5 = Strongly Agree [I can communicate comfortably with other students at IIT Guwahati</t>
  </si>
  <si>
    <t xml:space="preserve">Please indicate how much you agree or disagree with each of the following statements.
1 = Strongly Disagree | 2 = Disagree | 3 = Neither Agree nor Disagree | 4 = Agree | 5 = Strongly Agree [I 3 find it difficult to communicate because of language </t>
  </si>
  <si>
    <t>Please indicate how much you agree or disagree with each of the following statements.
1 = Strongly Disagree | 2 = Disagree | 3 = Neither Agree nor Disagree | 4 = Agree | 5 = Strongly Agree [Language differences 3 make me hesitate to join social or</t>
  </si>
  <si>
    <t>Please indicate how much you agree or disagree with each of the following statements.
1 = Strongly Disagree | 2 = Disagree | 3 = Neither Agree nor Disagree | 4 = Agree | 5 = Strongly Agree [I feel comfortable talking to students who speak different langua</t>
  </si>
  <si>
    <t>Please indicate how much you agree or disagree with each of the following statements.
1 = Strongly Disagree | 2 = Disagree | 3 = Neither Agree nor Disagree | 4 = Agree | 5 = Strongly Agree [My language skills have improved since I joined IIT Guwahati.]</t>
  </si>
  <si>
    <t xml:space="preserve">How 4 do you participate in clubs or societies?  </t>
  </si>
  <si>
    <t xml:space="preserve">How 4 do you participate in cultural programmes or festivals?  </t>
  </si>
  <si>
    <t xml:space="preserve">How 4 do you participate in sports or recreational activities?  </t>
  </si>
  <si>
    <t xml:space="preserve">I get enough opportunities to interact with students outside my immediate academic group.  </t>
  </si>
  <si>
    <t>Please indicate how much you agree or disagree with each of the following statements.
1 = Strongly Disagree | 2 = Disagree | 3 = Neither Agree nor Disagree | 4 = Agree | 5 = Strongly Agree [I feel that I am a part of IIT Guwahati.]</t>
  </si>
  <si>
    <t>Please indicate how much you agree or disagree with each of the following statements.
1 = Strongly Disagree | 2 = Disagree | 3 = Neither Agree nor Disagree | 4 = Agree | 5 = Strongly Agree [I feel accepted by other students at IIT Guwahati.]</t>
  </si>
  <si>
    <t>Please indicate how much you agree or disagree with each of the following statements.
1 = Strongly Disagree | 2 = Disagree | 3 = Neither Agree nor Disagree | 4 = Agree | 5 = Strongly Agree [I feel connected to the IIT Guwahati community.]</t>
  </si>
  <si>
    <t>Please indicate how much you agree or disagree with each of the following statements.
1 = Strongly Disagree | 2 = Disagree | 3 = Neither Agree nor Disagree | 4 = Agree | 5 = Strongly Agree [I feel comfortable being myself at IIT Guwahati.]</t>
  </si>
  <si>
    <t>Please indicate how much you agree or disagree with each of the following statements.
1 = Strongly Disagree | 2 = Disagree | 3 = Neither Agree nor Disagree | 4 = Agree | 5 = Strongly Agree [I feel that I fit in well at IIT Guwahati.]</t>
  </si>
  <si>
    <t>Please indicate how much you agree or disagree with each of the following statements.
1 = Strongly Disagree | 2 = Disagree | 3 = Neither Agree nor Disagree | 4 = Agree | 5 = Strongly Agree [I feel respected by other students at IIT Guwahati.]</t>
  </si>
  <si>
    <t>Please indicate how much you agree or disagree with each of the following statements.
1 = Strongly Disagree | 2 = Disagree | 3 = Neither Agree nor Disagree | 4 = Agree | 5 = Strongly Agree [I feel that I belong at IIT Guwahati.]</t>
  </si>
  <si>
    <t>Column2</t>
  </si>
  <si>
    <t>Column3</t>
  </si>
  <si>
    <t xml:space="preserve"> feel like an outsider at IIT Guwahati-Reverse code</t>
  </si>
  <si>
    <t>Belongingness Score</t>
  </si>
  <si>
    <t>Total belonging score</t>
  </si>
  <si>
    <t>Belonging Category</t>
  </si>
  <si>
    <t>Participation score</t>
  </si>
  <si>
    <t>Participation Category</t>
  </si>
  <si>
    <t>Unnamed: 40</t>
  </si>
  <si>
    <t>Home Visit Category</t>
  </si>
  <si>
    <t>Cultural Experience Score (computed, not in source)</t>
  </si>
  <si>
    <t>Language Comfort Score (computed, not in source)</t>
  </si>
  <si>
    <t>Home Region (computed, not in source)</t>
  </si>
  <si>
    <t>Cultural Experience Category (computed, not in source)</t>
  </si>
  <si>
    <t>Language Comfort Category (computed, not in source)</t>
  </si>
  <si>
    <t>High</t>
  </si>
  <si>
    <t>Low Participation</t>
  </si>
  <si>
    <t>Less Frequent</t>
  </si>
  <si>
    <t>Rest of India</t>
  </si>
  <si>
    <t>Low</t>
  </si>
  <si>
    <t>Frequent</t>
  </si>
  <si>
    <t>Northeast India</t>
  </si>
  <si>
    <t>High Participation</t>
  </si>
  <si>
    <t>Abroad</t>
  </si>
  <si>
    <t>Note: row 16's Home Visit code (col H) is blank in the source file — left blank here, unedited.</t>
  </si>
  <si>
    <t>2. DESCRIPTIVE STATISTICS — Categorical Variables (n = 70)</t>
  </si>
  <si>
    <t>Variable</t>
  </si>
  <si>
    <t>Category</t>
  </si>
  <si>
    <t>Code</t>
  </si>
  <si>
    <t>Frequency</t>
  </si>
  <si>
    <t>Percent (%)</t>
  </si>
  <si>
    <t>Level of Study</t>
  </si>
  <si>
    <t>Master's Programme</t>
  </si>
  <si>
    <t>Bachelor's Programme</t>
  </si>
  <si>
    <t>Doctoral Programme</t>
  </si>
  <si>
    <t>Year of Study</t>
  </si>
  <si>
    <t>1st year</t>
  </si>
  <si>
    <t>2nd year</t>
  </si>
  <si>
    <t>3rd year</t>
  </si>
  <si>
    <t>4th year</t>
  </si>
  <si>
    <t>5th year or above</t>
  </si>
  <si>
    <t>Gender</t>
  </si>
  <si>
    <t>Female</t>
  </si>
  <si>
    <t>Male</t>
  </si>
  <si>
    <t>Prefer not to say</t>
  </si>
  <si>
    <t>Home Region (relative to IITG)</t>
  </si>
  <si>
    <t>Distance from IIT Guwahati</t>
  </si>
  <si>
    <t>More than 1500 km</t>
  </si>
  <si>
    <t>Less than 250 km</t>
  </si>
  <si>
    <t>1001–1500 km</t>
  </si>
  <si>
    <t>501–1000 km</t>
  </si>
  <si>
    <t>250–500 km</t>
  </si>
  <si>
    <t>Usual Mode of Travel</t>
  </si>
  <si>
    <t>Flight</t>
  </si>
  <si>
    <t>Flight + Train/Bus</t>
  </si>
  <si>
    <t>Train</t>
  </si>
  <si>
    <t>Bus</t>
  </si>
  <si>
    <t>Train + Bus</t>
  </si>
  <si>
    <t>Private vehicle / Personal transport</t>
  </si>
  <si>
    <t>Usual Journey Duration</t>
  </si>
  <si>
    <t>Less than 5 hours</t>
  </si>
  <si>
    <t>5–10 hours</t>
  </si>
  <si>
    <t>More than 30 hours</t>
  </si>
  <si>
    <t>11–20 hours</t>
  </si>
  <si>
    <t>21–30 hours</t>
  </si>
  <si>
    <t>Home Visits per Semester</t>
  </si>
  <si>
    <t>Once</t>
  </si>
  <si>
    <t>Never</t>
  </si>
  <si>
    <t>More than 4 times</t>
  </si>
  <si>
    <t>Twice</t>
  </si>
  <si>
    <t>3-4 Times</t>
  </si>
  <si>
    <t>One-way Travel Spend</t>
  </si>
  <si>
    <t>More than ₹10,000</t>
  </si>
  <si>
    <t>₹5,001–₹10,000</t>
  </si>
  <si>
    <t>₹2,501–₹5,000</t>
  </si>
  <si>
    <t>Less than ₹1,000</t>
  </si>
  <si>
    <t>₹1,000–₹2,500</t>
  </si>
  <si>
    <t>Note: Home Visits sums to 69 of 70 (source has one blank code, row 16 above, left unedited).</t>
  </si>
  <si>
    <t>3. DESCRIPTIVE STATISTICS — Independent &amp; Dependent Variables</t>
  </si>
  <si>
    <t>Mean</t>
  </si>
  <si>
    <t>SD</t>
  </si>
  <si>
    <t>Variance</t>
  </si>
  <si>
    <t>Skewness</t>
  </si>
  <si>
    <t>Kurtosis</t>
  </si>
  <si>
    <t>Min</t>
  </si>
  <si>
    <t>Max</t>
  </si>
  <si>
    <t>Distance from Hometown</t>
  </si>
  <si>
    <t>Home Visits</t>
  </si>
  <si>
    <t>Cultural Experience Score</t>
  </si>
  <si>
    <t>Language Comfort Score</t>
  </si>
  <si>
    <t>Campus Participation Score</t>
  </si>
  <si>
    <t>Belongingness Score (DV)</t>
  </si>
  <si>
    <t>4. RELIABILITY ANALYSIS — Belongingness Scale, Cronbach's Alpha (8 items)</t>
  </si>
  <si>
    <t>Alpha = (k/(k-1)) x (1 - Σitem variances / total-score variance). Total score uses source column AK. Source: Goodenow, C. (1993). Psychology in the Schools, 30(1), 79–90.</t>
  </si>
  <si>
    <t>Item (source column)</t>
  </si>
  <si>
    <t>Variance (VAR)</t>
  </si>
  <si>
    <t>I feel that I am a part of IIT Guwahati. (Z)</t>
  </si>
  <si>
    <t>I feel accepted by other students. (AA)</t>
  </si>
  <si>
    <t>I feel connected to the IIT Guwahati community. (AB)</t>
  </si>
  <si>
    <t>I feel comfortable being myself. (AC)</t>
  </si>
  <si>
    <t>I feel that I fit in well. (AD)</t>
  </si>
  <si>
    <t>I feel respected by other students. (AE)</t>
  </si>
  <si>
    <t>I feel that I belong at IIT Guwahati. (AF)</t>
  </si>
  <si>
    <t>I feel like an outsider — reverse-scored, as given. (AI)</t>
  </si>
  <si>
    <t>Sum of item variances (Σσ²_item)</t>
  </si>
  <si>
    <t>Variance of total score (σ²_total, col AK)</t>
  </si>
  <si>
    <t>Number of items (k)</t>
  </si>
  <si>
    <t>Cronbach's Alpha</t>
  </si>
  <si>
    <t>Interpretation</t>
  </si>
  <si>
    <t>5. CORRELATION ANALYSIS — Predictors vs. Belongingness Score</t>
  </si>
  <si>
    <t>Pearson r via CORREL; t = r*SQRT(n-2)/SQRT(1-r^2); p via TDIST (two-tailed).</t>
  </si>
  <si>
    <t>Predictor (RQ)</t>
  </si>
  <si>
    <t>n</t>
  </si>
  <si>
    <t>r</t>
  </si>
  <si>
    <t>t</t>
  </si>
  <si>
    <t>df</t>
  </si>
  <si>
    <t>p-value</t>
  </si>
  <si>
    <t>Decision (α = 0.05)</t>
  </si>
  <si>
    <t>Distance from Hometown (RQ-I)</t>
  </si>
  <si>
    <t>Home Visits (RQ-II)</t>
  </si>
  <si>
    <t>Cultural Experience (RQ-III)</t>
  </si>
  <si>
    <t>Language Comfort (RQ-III)</t>
  </si>
  <si>
    <t>Campus Participation (RQ-IV)</t>
  </si>
  <si>
    <t>6. ANOVA — RQ-I: Distance from Hometown vs. Belongingness Score</t>
  </si>
  <si>
    <t>Group means/SD via AVERAGEIF/STDEV; SS via per-group SUMPRODUCT; F-test via FDIST/FINV.</t>
  </si>
  <si>
    <t>Group</t>
  </si>
  <si>
    <t>SS (within group)</t>
  </si>
  <si>
    <t>Total n analyzed</t>
  </si>
  <si>
    <t>Grand mean (weighted)</t>
  </si>
  <si>
    <t>Source</t>
  </si>
  <si>
    <t>SS</t>
  </si>
  <si>
    <t>MS</t>
  </si>
  <si>
    <t>F</t>
  </si>
  <si>
    <t>F crit (0.05)</t>
  </si>
  <si>
    <t>Between Groups</t>
  </si>
  <si>
    <t>Within Groups</t>
  </si>
  <si>
    <t>Total</t>
  </si>
  <si>
    <t>7. ANOVA — RQ-II: Home Visits vs. Belongingness Score</t>
  </si>
  <si>
    <t>3-4 times</t>
  </si>
  <si>
    <t>8. CONTINGENCY TABLES — Chi-Square Tests of Independence (every IV vs. Belonging)</t>
  </si>
  <si>
    <t>All five independent variables against Belonging Category. Categories use the source file's own given labels where they exist (Home Visits, Participation); Cultural Experience and Language Comfort use the same &gt;=4 High/Low split the source applies elsewhere. Chi-square is Yates-corrected for the 2x2 tables; the 5x2 Distance table uses the standard (uncorrected) formula. p-value via CHIDIST; critical value via CHIINV.</t>
  </si>
  <si>
    <t>8a. Distance from Hometown × Belonging Category</t>
  </si>
  <si>
    <t>Distance \ Belonging</t>
  </si>
  <si>
    <t>Row Total</t>
  </si>
  <si>
    <t>Column Total</t>
  </si>
  <si>
    <t>Expected Frequencies (Row Total x Col Total / Grand Total)</t>
  </si>
  <si>
    <t>Chi-square statistic (χ²)</t>
  </si>
  <si>
    <t>Degrees of freedom</t>
  </si>
  <si>
    <t>Chi-square critical (α = 0.05)</t>
  </si>
  <si>
    <t>8b. Home Visit Category × Belonging Category</t>
  </si>
  <si>
    <t>Home Visits \ Belonging</t>
  </si>
  <si>
    <t>Chi-square statistic (χ², Yates-corrected)</t>
  </si>
  <si>
    <t>8c. Cultural Experience Category × Belonging Category</t>
  </si>
  <si>
    <t>Cultural Experience \ Belonging</t>
  </si>
  <si>
    <t>8d. Language Comfort Category × Belonging Category</t>
  </si>
  <si>
    <t>Language Comfort \ Belonging</t>
  </si>
  <si>
    <t>8e. Participation Category × Belonging Category</t>
  </si>
  <si>
    <t>Participation \ Belonging</t>
  </si>
  <si>
    <t>9. HYPOTHESIS TESTING SUMMARY — All Five Research Questions</t>
  </si>
  <si>
    <t>Every statistic below links directly to its section above.</t>
  </si>
  <si>
    <t>RQ</t>
  </si>
  <si>
    <t>Hypothesis (H0)</t>
  </si>
  <si>
    <t>Test</t>
  </si>
  <si>
    <t>Statistic</t>
  </si>
  <si>
    <t>RQ-I</t>
  </si>
  <si>
    <t>Distance has no effect on Belongingness</t>
  </si>
  <si>
    <t>One-Way ANOVA</t>
  </si>
  <si>
    <t>RQ-II</t>
  </si>
  <si>
    <t>Home Visits has no effect on Belongingness</t>
  </si>
  <si>
    <t>RQ-III</t>
  </si>
  <si>
    <t>Cultural Experience has no relationship with Belongingness</t>
  </si>
  <si>
    <t>Pearson Correlation</t>
  </si>
  <si>
    <t>Language Comfort has no relationship with Belongingness</t>
  </si>
  <si>
    <t>RQ-IV</t>
  </si>
  <si>
    <t>Campus Participation has no relationship with Belongingness</t>
  </si>
  <si>
    <t>RQ-V</t>
  </si>
  <si>
    <t>Strongest predictor of Belongingness (ranked by |r|)</t>
  </si>
  <si>
    <t>Correlation ranking</t>
  </si>
  <si>
    <t>—</t>
  </si>
  <si>
    <t>Reject H0 (model significant)</t>
  </si>
  <si>
    <t xml:space="preserve"> </t>
  </si>
  <si>
    <t xml:space="preserve">How often do you visit your hometown during a semester?  </t>
  </si>
  <si>
    <t>Please indicate how much you agree or disagree with each of the following statements.
1 = Strongly Disagree | 2 = Disagree | 3 = Neither Agree nor Disagree | 4 = Agree | 5 = Strongly Agree [I find the culture at IIT Guwahati different from the culture at my home.]</t>
  </si>
  <si>
    <t>Please indicate how much you agree or disagree with each of the following statements.
1 = Strongly Disagree | 2 = Disagree | 3 = Neither Agree nor Disagree | 4 = Agree | 5 = Strongly Agree [I sometimes find it difficult to adjust to cultural differences at IIT Guwahati.]</t>
  </si>
  <si>
    <t>Please indicate how much you agree or disagree with each of the following statements.
1 = Strongly Disagree | 2 = Disagree | 3 = Neither Agree nor Disagree | 4 = Agree | 5 = Strongly Agree [I am comfortable interacting with students from different cultural backgrounds.]</t>
  </si>
  <si>
    <t>Please indicate how much you agree or disagree with each of the following statements.
1 = Strongly Disagree | 2 = Disagree | 3 = Neither Agree nor Disagree | 4 = Agree | 5 = Strongly Agree [I have learned about cultures different from my own at IIT Guwahati.]</t>
  </si>
  <si>
    <t>Please indicate how much you agree or disagree with each of the following statements.
1 = Strongly Disagree | 2 = Disagree | 3 = Neither Agree nor Disagree | 4 = Agree | 5 = Strongly Agree [I feel that students from different cultural backgrounds are accepted at IIT Guwahati.]</t>
  </si>
  <si>
    <t>Please indicate how much you agree or disagree with each of the following statements.
1 = Strongly Disagree | 2 = Disagree | 3 = Neither Agree nor Disagree | 4 = Agree | 5 = Strongly Agree [I can communicate comfortably with other students at IIT Guwahati.]</t>
  </si>
  <si>
    <t>Please indicate how much you agree or disagree with each of the following statements.
1 = Strongly Disagree | 2 = Disagree | 3 = Neither Agree nor Disagree | 4 = Agree | 5 = Strongly Agree [I sometimes find it difficult to communicate because of language differences.]</t>
  </si>
  <si>
    <t>Please indicate how much you agree or disagree with each of the following statements.
1 = Strongly Disagree | 2 = Disagree | 3 = Neither Agree nor Disagree | 4 = Agree | 5 = Strongly Agree [Language differences sometimes make me hesitate to join social or campus activities.]</t>
  </si>
  <si>
    <t>Please indicate how much you agree or disagree with each of the following statements.
1 = Strongly Disagree | 2 = Disagree | 3 = Neither Agree nor Disagree | 4 = Agree | 5 = Strongly Agree [I feel comfortable talking to students who speak different languages.]</t>
  </si>
  <si>
    <t xml:space="preserve">How often do you participate in clubs or societies?  </t>
  </si>
  <si>
    <t xml:space="preserve">How often do you participate in cultural programmes or festivals?  </t>
  </si>
  <si>
    <t xml:space="preserve">How often do you participate in sports or recreational activities?  </t>
  </si>
  <si>
    <t>Please indicate how much you agree or disagree with each of the following statements.
1 = Strongly Disagree | 2 = Disagree | 3 = Neither Agree nor Disagree | 4 = Agree | 5 = Strongly Agree [I sometimes feel like an outsider at IIT Guwahati.]</t>
  </si>
  <si>
    <t>Kerala</t>
  </si>
  <si>
    <t>Strongly Agree</t>
  </si>
  <si>
    <t>Neither Agree nor Disagree</t>
  </si>
  <si>
    <t>Agree</t>
  </si>
  <si>
    <t>Disagree</t>
  </si>
  <si>
    <t>Rarely</t>
  </si>
  <si>
    <t>Sometimes</t>
  </si>
  <si>
    <t xml:space="preserve">Andhra Pradesh </t>
  </si>
  <si>
    <t>Tamil Nadu</t>
  </si>
  <si>
    <t>Assam</t>
  </si>
  <si>
    <t xml:space="preserve">West Bengal </t>
  </si>
  <si>
    <t>Strongly Disagree</t>
  </si>
  <si>
    <t>Haryana</t>
  </si>
  <si>
    <t xml:space="preserve">Tamil Nadu </t>
  </si>
  <si>
    <t>Manipur</t>
  </si>
  <si>
    <t xml:space="preserve">Uttarakhand </t>
  </si>
  <si>
    <t>Often</t>
  </si>
  <si>
    <t>Rajasthan</t>
  </si>
  <si>
    <t>Very often</t>
  </si>
  <si>
    <t>maharshtra</t>
  </si>
  <si>
    <t>Hariyana</t>
  </si>
  <si>
    <t xml:space="preserve">Assam </t>
  </si>
  <si>
    <t>assam</t>
  </si>
  <si>
    <t>TN</t>
  </si>
  <si>
    <t xml:space="preserve">Tamilnadu </t>
  </si>
  <si>
    <t>Tamilnadu</t>
  </si>
  <si>
    <t xml:space="preserve">Meghalaya </t>
  </si>
  <si>
    <t xml:space="preserve">Telangana </t>
  </si>
  <si>
    <t xml:space="preserve">Haryana </t>
  </si>
  <si>
    <t>Mumbai</t>
  </si>
  <si>
    <t>Karnataka</t>
  </si>
  <si>
    <t>Uttar Pradesh</t>
  </si>
  <si>
    <t>UP</t>
  </si>
  <si>
    <t xml:space="preserve">Tamil nadu </t>
  </si>
  <si>
    <t xml:space="preserve">Uttar Pradesh </t>
  </si>
  <si>
    <t>West Bengal</t>
  </si>
  <si>
    <t>Himachal Pradesh</t>
  </si>
  <si>
    <t>Jammu</t>
  </si>
  <si>
    <t>QATAR</t>
  </si>
  <si>
    <t>Tamil nadu</t>
  </si>
  <si>
    <t>Tripura</t>
  </si>
  <si>
    <t>MH</t>
  </si>
  <si>
    <t>Karataka</t>
  </si>
  <si>
    <t>AP</t>
  </si>
  <si>
    <t>Oman</t>
  </si>
  <si>
    <t>Punjab</t>
  </si>
  <si>
    <t>Andhra pradhesh</t>
  </si>
  <si>
    <t>PUNJAB</t>
  </si>
  <si>
    <t xml:space="preserve">Rajasthan </t>
  </si>
  <si>
    <t xml:space="preserve">Bihar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</si>
</sst>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0.000"/>
    <numFmt numFmtId="166" formatCode="0.0000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6D2E46"/>
      <name val="Calibri"/>
      <family val="2"/>
    </font>
    <font>
      <i/>
      <sz val="10"/>
      <color rgb="FF666666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i/>
      <sz val="9"/>
      <color rgb="FF666666"/>
      <name val="Calibri"/>
      <family val="2"/>
    </font>
    <font>
      <b/>
      <sz val="10"/>
      <name val="Calibri"/>
      <family val="2"/>
    </font>
    <font>
      <b/>
      <sz val="12"/>
      <color rgb="FF6D2E46"/>
      <name val="Calibri"/>
      <family val="2"/>
    </font>
    <font>
      <b/>
      <sz val="11"/>
      <color rgb="FF6D2E46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D2E46"/>
        <bgColor rgb="FF993366"/>
      </patternFill>
    </fill>
    <fill>
      <patternFill patternType="solid">
        <fgColor rgb="FFF4EEE6"/>
        <bgColor rgb="FFFFFFFF"/>
      </patternFill>
    </fill>
  </fills>
  <borders count="6">
    <border>
      <left/>
      <right/>
      <top/>
      <bottom/>
      <diagonal/>
    </border>
    <border>
      <left style="thin">
        <color rgb="FFD9D0C7"/>
      </left>
      <right style="thin">
        <color rgb="FFD9D0C7"/>
      </right>
      <top style="thin">
        <color rgb="FFD9D0C7"/>
      </top>
      <bottom style="thin">
        <color rgb="FFD9D0C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D9D0C7"/>
      </right>
      <top style="thin">
        <color rgb="FFD9D0C7"/>
      </top>
      <bottom style="thin">
        <color rgb="FFD9D0C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8" fillId="0" borderId="1" xfId="0" applyFont="1" applyBorder="1"/>
    <xf numFmtId="2" fontId="6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0" fontId="8" fillId="3" borderId="1" xfId="0" applyFont="1" applyFill="1" applyBorder="1"/>
    <xf numFmtId="166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vertical="center" wrapText="1"/>
    </xf>
    <xf numFmtId="166" fontId="6" fillId="0" borderId="1" xfId="0" applyNumberFormat="1" applyFont="1" applyBorder="1" applyAlignment="1">
      <alignment vertical="center" wrapText="1"/>
    </xf>
    <xf numFmtId="0" fontId="2" fillId="0" borderId="2" xfId="0" applyFont="1" applyBorder="1"/>
    <xf numFmtId="0" fontId="0" fillId="0" borderId="3" xfId="0" applyBorder="1"/>
    <xf numFmtId="0" fontId="3" fillId="0" borderId="4" xfId="0" applyFont="1" applyBorder="1"/>
    <xf numFmtId="0" fontId="0" fillId="0" borderId="0" xfId="0" applyBorder="1"/>
    <xf numFmtId="0" fontId="4" fillId="2" borderId="4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7" fillId="0" borderId="4" xfId="0" applyFont="1" applyBorder="1"/>
    <xf numFmtId="0" fontId="8" fillId="0" borderId="5" xfId="0" applyFont="1" applyBorder="1" applyAlignment="1">
      <alignment vertical="center"/>
    </xf>
    <xf numFmtId="0" fontId="8" fillId="0" borderId="5" xfId="0" applyFont="1" applyBorder="1"/>
    <xf numFmtId="0" fontId="6" fillId="0" borderId="5" xfId="0" applyFont="1" applyBorder="1"/>
    <xf numFmtId="0" fontId="8" fillId="0" borderId="4" xfId="0" applyFont="1" applyBorder="1"/>
    <xf numFmtId="165" fontId="6" fillId="0" borderId="0" xfId="0" applyNumberFormat="1" applyFont="1" applyBorder="1"/>
    <xf numFmtId="0" fontId="9" fillId="0" borderId="4" xfId="0" applyFont="1" applyBorder="1"/>
    <xf numFmtId="165" fontId="9" fillId="0" borderId="0" xfId="0" applyNumberFormat="1" applyFont="1" applyBorder="1"/>
    <xf numFmtId="2" fontId="6" fillId="0" borderId="0" xfId="0" applyNumberFormat="1" applyFont="1" applyBorder="1"/>
    <xf numFmtId="0" fontId="8" fillId="3" borderId="5" xfId="0" applyFont="1" applyFill="1" applyBorder="1"/>
    <xf numFmtId="0" fontId="10" fillId="0" borderId="4" xfId="0" applyFont="1" applyBorder="1"/>
    <xf numFmtId="0" fontId="10" fillId="0" borderId="0" xfId="0" applyFont="1" applyBorder="1"/>
    <xf numFmtId="166" fontId="6" fillId="0" borderId="0" xfId="0" applyNumberFormat="1" applyFont="1" applyBorder="1"/>
    <xf numFmtId="0" fontId="8" fillId="0" borderId="5" xfId="0" applyFont="1" applyBorder="1" applyAlignment="1">
      <alignment vertical="center" wrapText="1"/>
    </xf>
    <xf numFmtId="0" fontId="0" fillId="0" borderId="4" xfId="0" applyBorder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4" xfId="0" applyFont="1" applyBorder="1" applyAlignment="1"/>
    <xf numFmtId="0" fontId="6" fillId="0" borderId="0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61845E73-1982-864A-8323-6635E3DB5D37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C7"/>
      <rgbColor rgb="FF808080"/>
      <rgbColor rgb="FF9999FF"/>
      <rgbColor rgb="FF6D2E46"/>
      <rgbColor rgb="FFF4EE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FB64F-7E92-7A40-90D1-161C4CB5D989}" name="Form_Responses" displayName="Form_Responses" ref="A1:AE71">
  <tableColumns count="31">
    <tableColumn id="2" xr3:uid="{1D100658-C96F-F54F-8EE9-7FA8A87E1D5E}" name=" What is your current level of study?  "/>
    <tableColumn id="3" xr3:uid="{10470E7E-E003-7349-A3F9-8C453D84647F}" name="What is your year of study?  "/>
    <tableColumn id="4" xr3:uid="{6E5EAD91-CF1F-6943-88BC-C7E5AC01739E}" name="What is your gender?  "/>
    <tableColumn id="5" xr3:uid="{B7B84C30-7482-B14C-98CF-EB9C658E30B4}" name="Which state/UT is your hometown in?  "/>
    <tableColumn id="6" xr3:uid="{ADE564C6-C77A-B44A-9877-A74646CEB1D9}" name="Approximately how far is your hometown from IIT Guwahati? "/>
    <tableColumn id="7" xr3:uid="{23D7AF73-B260-0F46-8DC2-2D7376244C44}" name="What is your usual mode of travel when you visit your hometown?  "/>
    <tableColumn id="8" xr3:uid="{9DC6ACA3-4160-304B-A157-FBC2F28318B4}" name="Approximately how long does your usual journey from IIT Guwahati to your hometown take?  "/>
    <tableColumn id="9" xr3:uid="{D383BBDE-802E-4545-BB80-9890D2489E7F}" name="How often do you visit your hometown during a semester?  "/>
    <tableColumn id="10" xr3:uid="{2C51D383-9681-8B48-B831-ECFC4696123F}" name="Approximately how much do you usually spend on a one-way journey from IIT Guwahati to your hometown?  "/>
    <tableColumn id="11" xr3:uid="{290F15EE-3318-C945-A2C5-899BFDD60C56}" name="Please indicate how much you agree or disagree with each of the following statements._x000a_1 = Strongly Disagree | 2 = Disagree | 3 = Neither Agree nor Disagree | 4 = Agree | 5 = Strongly Agree [I find the culture at IIT Guwahati different from the culture at "/>
    <tableColumn id="12" xr3:uid="{FFB6C42C-A3BC-264E-BFBB-8877F174D01E}" name="Please indicate how much you agree or disagree with each of the following statements._x000a_1 = Strongly Disagree | 2 = Disagree | 3 = Neither Agree nor Disagree | 4 = Agree | 5 = Strongly Agree [I sometimes find it difficult to adjust to cultural differences a"/>
    <tableColumn id="13" xr3:uid="{CA5E0596-D588-7243-9F85-09208E3F6C9E}" name="Please indicate how much you agree or disagree with each of the following statements._x000a_1 = Strongly Disagree | 2 = Disagree | 3 = Neither Agree nor Disagree | 4 = Agree | 5 = Strongly Agree [I am comfortable interacting with students from different cultura"/>
    <tableColumn id="14" xr3:uid="{43BCF938-BC1B-0244-A2E4-EA9EAABF8B0F}" name="Please indicate how much you agree or disagree with each of the following statements._x000a_1 = Strongly Disagree | 2 = Disagree | 3 = Neither Agree nor Disagree | 4 = Agree | 5 = Strongly Agree [I have learned about cultures different from my own at IIT Guwaha"/>
    <tableColumn id="15" xr3:uid="{95DDDB9C-CCA5-FE4F-BBE8-9CD5DBFF2548}" name="Please indicate how much you agree or disagree with each of the following statements._x000a_1 = Strongly Disagree | 2 = Disagree | 3 = Neither Agree nor Disagree | 4 = Agree | 5 = Strongly Agree [I feel that students from different cultural backgrounds are acce"/>
    <tableColumn id="16" xr3:uid="{F93F872B-759D-4943-AB30-DE2740EC2EEE}" name="Please indicate how much you agree or disagree with each of the following statements._x000a_1 = Strongly Disagree | 2 = Disagree | 3 = Neither Agree nor Disagree | 4 = Agree | 5 = Strongly Agree [I can communicate comfortably with other students at IIT Guwahati"/>
    <tableColumn id="17" xr3:uid="{599B2DF8-A3C7-E642-B249-68B97191E702}" name="Please indicate how much you agree or disagree with each of the following statements._x000a_1 = Strongly Disagree | 2 = Disagree | 3 = Neither Agree nor Disagree | 4 = Agree | 5 = Strongly Agree [I sometimes find it difficult to communicate because of language "/>
    <tableColumn id="18" xr3:uid="{AAA5567D-32CD-454C-9EA5-93AA046F8E3A}" name="Please indicate how much you agree or disagree with each of the following statements._x000a_1 = Strongly Disagree | 2 = Disagree | 3 = Neither Agree nor Disagree | 4 = Agree | 5 = Strongly Agree [Language differences sometimes make me hesitate to join social or"/>
    <tableColumn id="19" xr3:uid="{563E0E98-BD11-C34E-86BB-68C8014BE859}" name="Please indicate how much you agree or disagree with each of the following statements._x000a_1 = Strongly Disagree | 2 = Disagree | 3 = Neither Agree nor Disagree | 4 = Agree | 5 = Strongly Agree [I feel comfortable talking to students who speak different langua"/>
    <tableColumn id="20" xr3:uid="{BA36283B-FC2C-C047-8B7E-9FE7D20108C0}" name="Please indicate how much you agree or disagree with each of the following statements._x000a_1 = Strongly Disagree | 2 = Disagree | 3 = Neither Agree nor Disagree | 4 = Agree | 5 = Strongly Agree [My language skills have improved since I joined IIT Guwahati.]"/>
    <tableColumn id="21" xr3:uid="{33712489-7356-E24D-ABE9-21E667EE992F}" name="How often do you participate in clubs or societies?  "/>
    <tableColumn id="22" xr3:uid="{D4C78173-1DA3-5642-A9D4-6DF90E8AE530}" name="How often do you participate in cultural programmes or festivals?  "/>
    <tableColumn id="23" xr3:uid="{775659B1-2F34-744D-ACCF-5B64C1A654CC}" name="How often do you participate in sports or recreational activities?  "/>
    <tableColumn id="24" xr3:uid="{A0BDE816-F44B-9F4A-AEB2-585F5367845A}" name="I get enough opportunities to interact with students outside my immediate academic group.  "/>
    <tableColumn id="25" xr3:uid="{63225E7E-1325-CA4A-A82F-4A85A0C3E880}" name="Please indicate how much you agree or disagree with each of the following statements._x000a_1 = Strongly Disagree | 2 = Disagree | 3 = Neither Agree nor Disagree | 4 = Agree | 5 = Strongly Agree [I feel that I am a part of IIT Guwahati.]"/>
    <tableColumn id="26" xr3:uid="{610BBD6E-614F-9E46-AE32-02BFA8E71631}" name="Please indicate how much you agree or disagree with each of the following statements._x000a_1 = Strongly Disagree | 2 = Disagree | 3 = Neither Agree nor Disagree | 4 = Agree | 5 = Strongly Agree [I feel accepted by other students at IIT Guwahati.]"/>
    <tableColumn id="27" xr3:uid="{A6B94F5C-B32B-3341-BC1E-1F82668EE1DB}" name="Please indicate how much you agree or disagree with each of the following statements._x000a_1 = Strongly Disagree | 2 = Disagree | 3 = Neither Agree nor Disagree | 4 = Agree | 5 = Strongly Agree [I feel connected to the IIT Guwahati community.]"/>
    <tableColumn id="28" xr3:uid="{5F291FAB-FB44-7641-9B4C-78B831F1210B}" name="Please indicate how much you agree or disagree with each of the following statements._x000a_1 = Strongly Disagree | 2 = Disagree | 3 = Neither Agree nor Disagree | 4 = Agree | 5 = Strongly Agree [I feel comfortable being myself at IIT Guwahati.]"/>
    <tableColumn id="29" xr3:uid="{7E62E719-4B22-D842-8BA9-648C2F194923}" name="Please indicate how much you agree or disagree with each of the following statements._x000a_1 = Strongly Disagree | 2 = Disagree | 3 = Neither Agree nor Disagree | 4 = Agree | 5 = Strongly Agree [I feel that I fit in well at IIT Guwahati.]"/>
    <tableColumn id="30" xr3:uid="{2488FA5F-8715-A54E-9ED7-11827747AC62}" name="Please indicate how much you agree or disagree with each of the following statements._x000a_1 = Strongly Disagree | 2 = Disagree | 3 = Neither Agree nor Disagree | 4 = Agree | 5 = Strongly Agree [I feel respected by other students at IIT Guwahati.]"/>
    <tableColumn id="31" xr3:uid="{F1F83A4E-1D84-D041-A4F7-2E9344E27AD4}" name="Please indicate how much you agree or disagree with each of the following statements._x000a_1 = Strongly Disagree | 2 = Disagree | 3 = Neither Agree nor Disagree | 4 = Agree | 5 = Strongly Agree [I feel that I belong at IIT Guwahati.]"/>
    <tableColumn id="32" xr3:uid="{55D9FC70-B2B7-3844-99AC-3A5152549ED5}" name="Please indicate how much you agree or disagree with each of the following statements._x000a_1 = Strongly Disagree | 2 = Disagree | 3 = Neither Agree nor Disagree | 4 = Agree | 5 = Strongly Agree [I sometimes feel like an outsider at IIT Guwahati.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818A-509D-134B-BB03-0E66960FEB33}">
  <dimension ref="A1:AE71"/>
  <sheetViews>
    <sheetView workbookViewId="0"/>
  </sheetViews>
  <sheetFormatPr baseColWidth="10" defaultColWidth="12.6640625" defaultRowHeight="15" x14ac:dyDescent="0.2"/>
  <cols>
    <col min="1" max="1" width="31.83203125" customWidth="1"/>
    <col min="2" max="2" width="25.6640625" customWidth="1"/>
    <col min="3" max="3" width="21.33203125" customWidth="1"/>
    <col min="4" max="4" width="33.1640625" customWidth="1"/>
    <col min="5" max="31" width="37.6640625" customWidth="1"/>
    <col min="32" max="37" width="18.83203125" customWidth="1"/>
  </cols>
  <sheetData>
    <row r="1" spans="1:31" ht="22.5" customHeight="1" x14ac:dyDescent="0.2">
      <c r="A1" s="38" t="s">
        <v>2</v>
      </c>
      <c r="B1" s="38" t="s">
        <v>3</v>
      </c>
      <c r="C1" s="38" t="s">
        <v>4</v>
      </c>
      <c r="D1" s="38" t="s">
        <v>5</v>
      </c>
      <c r="E1" s="38" t="s">
        <v>6</v>
      </c>
      <c r="F1" s="38" t="s">
        <v>7</v>
      </c>
      <c r="G1" s="38" t="s">
        <v>8</v>
      </c>
      <c r="H1" s="38" t="s">
        <v>215</v>
      </c>
      <c r="I1" s="38" t="s">
        <v>10</v>
      </c>
      <c r="J1" s="38" t="s">
        <v>216</v>
      </c>
      <c r="K1" s="38" t="s">
        <v>217</v>
      </c>
      <c r="L1" s="38" t="s">
        <v>218</v>
      </c>
      <c r="M1" s="38" t="s">
        <v>219</v>
      </c>
      <c r="N1" s="38" t="s">
        <v>220</v>
      </c>
      <c r="O1" s="38" t="s">
        <v>221</v>
      </c>
      <c r="P1" s="38" t="s">
        <v>222</v>
      </c>
      <c r="Q1" s="38" t="s">
        <v>223</v>
      </c>
      <c r="R1" s="38" t="s">
        <v>224</v>
      </c>
      <c r="S1" s="38" t="s">
        <v>22</v>
      </c>
      <c r="T1" s="38" t="s">
        <v>225</v>
      </c>
      <c r="U1" s="38" t="s">
        <v>226</v>
      </c>
      <c r="V1" s="38" t="s">
        <v>227</v>
      </c>
      <c r="W1" s="38" t="s">
        <v>26</v>
      </c>
      <c r="X1" s="38" t="s">
        <v>27</v>
      </c>
      <c r="Y1" s="38" t="s">
        <v>28</v>
      </c>
      <c r="Z1" s="38" t="s">
        <v>29</v>
      </c>
      <c r="AA1" s="38" t="s">
        <v>30</v>
      </c>
      <c r="AB1" s="38" t="s">
        <v>31</v>
      </c>
      <c r="AC1" s="38" t="s">
        <v>32</v>
      </c>
      <c r="AD1" s="38" t="s">
        <v>33</v>
      </c>
      <c r="AE1" s="38" t="s">
        <v>228</v>
      </c>
    </row>
    <row r="2" spans="1:31" ht="22.5" customHeight="1" x14ac:dyDescent="0.2">
      <c r="A2" s="39" t="s">
        <v>68</v>
      </c>
      <c r="B2" s="39" t="s">
        <v>72</v>
      </c>
      <c r="C2" s="39" t="s">
        <v>77</v>
      </c>
      <c r="D2" s="39" t="s">
        <v>229</v>
      </c>
      <c r="E2" s="39" t="s">
        <v>81</v>
      </c>
      <c r="F2" s="39" t="s">
        <v>87</v>
      </c>
      <c r="G2" s="39" t="s">
        <v>96</v>
      </c>
      <c r="H2" s="39" t="s">
        <v>100</v>
      </c>
      <c r="I2" s="39" t="s">
        <v>106</v>
      </c>
      <c r="J2" s="39" t="s">
        <v>230</v>
      </c>
      <c r="K2" s="39" t="s">
        <v>231</v>
      </c>
      <c r="L2" s="39" t="s">
        <v>230</v>
      </c>
      <c r="M2" s="39" t="s">
        <v>230</v>
      </c>
      <c r="N2" s="39" t="s">
        <v>232</v>
      </c>
      <c r="O2" s="39" t="s">
        <v>232</v>
      </c>
      <c r="P2" s="39" t="s">
        <v>233</v>
      </c>
      <c r="Q2" s="39" t="s">
        <v>232</v>
      </c>
      <c r="R2" s="39" t="s">
        <v>231</v>
      </c>
      <c r="S2" s="39" t="s">
        <v>232</v>
      </c>
      <c r="T2" s="39" t="s">
        <v>234</v>
      </c>
      <c r="U2" s="39" t="s">
        <v>101</v>
      </c>
      <c r="V2" s="39" t="s">
        <v>235</v>
      </c>
      <c r="W2" s="39" t="s">
        <v>232</v>
      </c>
      <c r="X2" s="39" t="s">
        <v>232</v>
      </c>
      <c r="Y2" s="39" t="s">
        <v>232</v>
      </c>
      <c r="Z2" s="39" t="s">
        <v>232</v>
      </c>
      <c r="AA2" s="39" t="s">
        <v>232</v>
      </c>
      <c r="AB2" s="39" t="s">
        <v>230</v>
      </c>
      <c r="AC2" s="39" t="s">
        <v>232</v>
      </c>
      <c r="AD2" s="39" t="s">
        <v>230</v>
      </c>
      <c r="AE2" s="39" t="s">
        <v>233</v>
      </c>
    </row>
    <row r="3" spans="1:31" ht="22.5" customHeight="1" x14ac:dyDescent="0.2">
      <c r="A3" s="39" t="s">
        <v>66</v>
      </c>
      <c r="B3" s="39" t="s">
        <v>70</v>
      </c>
      <c r="C3" s="39" t="s">
        <v>77</v>
      </c>
      <c r="D3" s="39" t="s">
        <v>236</v>
      </c>
      <c r="E3" s="39" t="s">
        <v>81</v>
      </c>
      <c r="F3" s="39" t="s">
        <v>89</v>
      </c>
      <c r="G3" s="39" t="s">
        <v>96</v>
      </c>
      <c r="H3" s="39" t="s">
        <v>101</v>
      </c>
      <c r="I3" s="39" t="s">
        <v>108</v>
      </c>
      <c r="J3" s="39" t="s">
        <v>230</v>
      </c>
      <c r="K3" s="39" t="s">
        <v>231</v>
      </c>
      <c r="L3" s="39" t="s">
        <v>230</v>
      </c>
      <c r="M3" s="39" t="s">
        <v>230</v>
      </c>
      <c r="N3" s="39" t="s">
        <v>230</v>
      </c>
      <c r="O3" s="39" t="s">
        <v>232</v>
      </c>
      <c r="P3" s="39" t="s">
        <v>231</v>
      </c>
      <c r="Q3" s="39" t="s">
        <v>232</v>
      </c>
      <c r="R3" s="39" t="s">
        <v>232</v>
      </c>
      <c r="S3" s="39" t="s">
        <v>232</v>
      </c>
      <c r="T3" s="39" t="s">
        <v>235</v>
      </c>
      <c r="U3" s="39" t="s">
        <v>235</v>
      </c>
      <c r="V3" s="39" t="s">
        <v>235</v>
      </c>
      <c r="W3" s="39" t="s">
        <v>232</v>
      </c>
      <c r="X3" s="39" t="s">
        <v>230</v>
      </c>
      <c r="Y3" s="39" t="s">
        <v>230</v>
      </c>
      <c r="Z3" s="39" t="s">
        <v>232</v>
      </c>
      <c r="AA3" s="39" t="s">
        <v>232</v>
      </c>
      <c r="AB3" s="39" t="s">
        <v>232</v>
      </c>
      <c r="AC3" s="39" t="s">
        <v>230</v>
      </c>
      <c r="AD3" s="39" t="s">
        <v>230</v>
      </c>
      <c r="AE3" s="39" t="s">
        <v>233</v>
      </c>
    </row>
    <row r="4" spans="1:31" ht="22.5" customHeight="1" x14ac:dyDescent="0.2">
      <c r="A4" s="39" t="s">
        <v>66</v>
      </c>
      <c r="B4" s="39" t="s">
        <v>70</v>
      </c>
      <c r="C4" s="39" t="s">
        <v>76</v>
      </c>
      <c r="D4" s="39" t="s">
        <v>237</v>
      </c>
      <c r="E4" s="39" t="s">
        <v>81</v>
      </c>
      <c r="F4" s="39" t="s">
        <v>87</v>
      </c>
      <c r="G4" s="39" t="s">
        <v>96</v>
      </c>
      <c r="H4" s="39" t="s">
        <v>101</v>
      </c>
      <c r="I4" s="39" t="s">
        <v>110</v>
      </c>
      <c r="J4" s="39" t="s">
        <v>231</v>
      </c>
      <c r="K4" s="39" t="s">
        <v>231</v>
      </c>
      <c r="L4" s="39" t="s">
        <v>232</v>
      </c>
      <c r="M4" s="39" t="s">
        <v>231</v>
      </c>
      <c r="N4" s="39" t="s">
        <v>232</v>
      </c>
      <c r="O4" s="39" t="s">
        <v>232</v>
      </c>
      <c r="P4" s="39" t="s">
        <v>233</v>
      </c>
      <c r="Q4" s="39" t="s">
        <v>231</v>
      </c>
      <c r="R4" s="39" t="s">
        <v>232</v>
      </c>
      <c r="S4" s="39" t="s">
        <v>231</v>
      </c>
      <c r="T4" s="39" t="s">
        <v>234</v>
      </c>
      <c r="U4" s="39" t="s">
        <v>234</v>
      </c>
      <c r="V4" s="39" t="s">
        <v>101</v>
      </c>
      <c r="W4" s="39" t="s">
        <v>230</v>
      </c>
      <c r="X4" s="39" t="s">
        <v>231</v>
      </c>
      <c r="Y4" s="39" t="s">
        <v>232</v>
      </c>
      <c r="Z4" s="39" t="s">
        <v>231</v>
      </c>
      <c r="AA4" s="39" t="s">
        <v>232</v>
      </c>
      <c r="AB4" s="39" t="s">
        <v>232</v>
      </c>
      <c r="AC4" s="39" t="s">
        <v>232</v>
      </c>
      <c r="AD4" s="39" t="s">
        <v>231</v>
      </c>
      <c r="AE4" s="39" t="s">
        <v>233</v>
      </c>
    </row>
    <row r="5" spans="1:31" ht="22.5" customHeight="1" x14ac:dyDescent="0.2">
      <c r="A5" s="39" t="s">
        <v>68</v>
      </c>
      <c r="B5" s="39" t="s">
        <v>70</v>
      </c>
      <c r="C5" s="39" t="s">
        <v>76</v>
      </c>
      <c r="D5" s="39" t="s">
        <v>229</v>
      </c>
      <c r="E5" s="39" t="s">
        <v>81</v>
      </c>
      <c r="F5" s="39" t="s">
        <v>87</v>
      </c>
      <c r="G5" s="39" t="s">
        <v>97</v>
      </c>
      <c r="H5" s="39" t="s">
        <v>101</v>
      </c>
      <c r="I5" s="39" t="s">
        <v>106</v>
      </c>
      <c r="J5" s="39" t="s">
        <v>232</v>
      </c>
      <c r="K5" s="39" t="s">
        <v>233</v>
      </c>
      <c r="L5" s="39" t="s">
        <v>230</v>
      </c>
      <c r="M5" s="39" t="s">
        <v>232</v>
      </c>
      <c r="N5" s="39" t="s">
        <v>230</v>
      </c>
      <c r="O5" s="39" t="s">
        <v>232</v>
      </c>
      <c r="P5" s="39" t="s">
        <v>232</v>
      </c>
      <c r="Q5" s="39" t="s">
        <v>233</v>
      </c>
      <c r="R5" s="39" t="s">
        <v>232</v>
      </c>
      <c r="S5" s="39" t="s">
        <v>232</v>
      </c>
      <c r="T5" s="39" t="s">
        <v>234</v>
      </c>
      <c r="U5" s="39" t="s">
        <v>234</v>
      </c>
      <c r="V5" s="39" t="s">
        <v>234</v>
      </c>
      <c r="W5" s="39" t="s">
        <v>230</v>
      </c>
      <c r="X5" s="39" t="s">
        <v>230</v>
      </c>
      <c r="Y5" s="39" t="s">
        <v>230</v>
      </c>
      <c r="Z5" s="39" t="s">
        <v>232</v>
      </c>
      <c r="AA5" s="39" t="s">
        <v>232</v>
      </c>
      <c r="AB5" s="39" t="s">
        <v>232</v>
      </c>
      <c r="AC5" s="39" t="s">
        <v>230</v>
      </c>
      <c r="AD5" s="39" t="s">
        <v>230</v>
      </c>
      <c r="AE5" s="39" t="s">
        <v>233</v>
      </c>
    </row>
    <row r="6" spans="1:31" ht="22.5" customHeight="1" x14ac:dyDescent="0.2">
      <c r="A6" s="39" t="s">
        <v>68</v>
      </c>
      <c r="B6" s="39" t="s">
        <v>70</v>
      </c>
      <c r="C6" s="39" t="s">
        <v>76</v>
      </c>
      <c r="D6" s="39" t="s">
        <v>238</v>
      </c>
      <c r="E6" s="39" t="s">
        <v>82</v>
      </c>
      <c r="F6" s="39" t="s">
        <v>90</v>
      </c>
      <c r="G6" s="39" t="s">
        <v>94</v>
      </c>
      <c r="H6" s="39" t="s">
        <v>102</v>
      </c>
      <c r="I6" s="39" t="s">
        <v>109</v>
      </c>
      <c r="J6" s="39" t="s">
        <v>231</v>
      </c>
      <c r="K6" s="39" t="s">
        <v>233</v>
      </c>
      <c r="L6" s="39" t="s">
        <v>230</v>
      </c>
      <c r="M6" s="39" t="s">
        <v>230</v>
      </c>
      <c r="N6" s="39" t="s">
        <v>230</v>
      </c>
      <c r="O6" s="39" t="s">
        <v>232</v>
      </c>
      <c r="P6" s="39" t="s">
        <v>232</v>
      </c>
      <c r="Q6" s="39" t="s">
        <v>232</v>
      </c>
      <c r="R6" s="39" t="s">
        <v>232</v>
      </c>
      <c r="S6" s="39" t="s">
        <v>232</v>
      </c>
      <c r="T6" s="39" t="s">
        <v>234</v>
      </c>
      <c r="U6" s="39" t="s">
        <v>234</v>
      </c>
      <c r="V6" s="39" t="s">
        <v>234</v>
      </c>
      <c r="W6" s="39" t="s">
        <v>231</v>
      </c>
      <c r="X6" s="39" t="s">
        <v>231</v>
      </c>
      <c r="Y6" s="39" t="s">
        <v>231</v>
      </c>
      <c r="Z6" s="39" t="s">
        <v>231</v>
      </c>
      <c r="AA6" s="39" t="s">
        <v>231</v>
      </c>
      <c r="AB6" s="39" t="s">
        <v>231</v>
      </c>
      <c r="AC6" s="39" t="s">
        <v>231</v>
      </c>
      <c r="AD6" s="39" t="s">
        <v>231</v>
      </c>
      <c r="AE6" s="39" t="s">
        <v>231</v>
      </c>
    </row>
    <row r="7" spans="1:31" ht="22.5" customHeight="1" x14ac:dyDescent="0.2">
      <c r="A7" s="39" t="s">
        <v>68</v>
      </c>
      <c r="B7" s="39" t="s">
        <v>70</v>
      </c>
      <c r="C7" s="39" t="s">
        <v>76</v>
      </c>
      <c r="D7" s="39" t="s">
        <v>238</v>
      </c>
      <c r="E7" s="39" t="s">
        <v>82</v>
      </c>
      <c r="F7" s="39" t="s">
        <v>92</v>
      </c>
      <c r="G7" s="39" t="s">
        <v>94</v>
      </c>
      <c r="H7" s="39" t="s">
        <v>102</v>
      </c>
      <c r="I7" s="39" t="s">
        <v>109</v>
      </c>
      <c r="J7" s="39" t="s">
        <v>232</v>
      </c>
      <c r="K7" s="39" t="s">
        <v>233</v>
      </c>
      <c r="L7" s="39" t="s">
        <v>230</v>
      </c>
      <c r="M7" s="39" t="s">
        <v>232</v>
      </c>
      <c r="N7" s="39" t="s">
        <v>230</v>
      </c>
      <c r="O7" s="39" t="s">
        <v>230</v>
      </c>
      <c r="P7" s="39" t="s">
        <v>233</v>
      </c>
      <c r="Q7" s="39" t="s">
        <v>233</v>
      </c>
      <c r="R7" s="39" t="s">
        <v>232</v>
      </c>
      <c r="S7" s="39" t="s">
        <v>231</v>
      </c>
      <c r="T7" s="39" t="s">
        <v>234</v>
      </c>
      <c r="U7" s="39" t="s">
        <v>235</v>
      </c>
      <c r="V7" s="39" t="s">
        <v>234</v>
      </c>
      <c r="W7" s="39" t="s">
        <v>231</v>
      </c>
      <c r="X7" s="39" t="s">
        <v>232</v>
      </c>
      <c r="Y7" s="39" t="s">
        <v>231</v>
      </c>
      <c r="Z7" s="39" t="s">
        <v>231</v>
      </c>
      <c r="AA7" s="39" t="s">
        <v>232</v>
      </c>
      <c r="AB7" s="39" t="s">
        <v>231</v>
      </c>
      <c r="AC7" s="39" t="s">
        <v>232</v>
      </c>
      <c r="AD7" s="39" t="s">
        <v>232</v>
      </c>
      <c r="AE7" s="39" t="s">
        <v>233</v>
      </c>
    </row>
    <row r="8" spans="1:31" ht="22.5" customHeight="1" x14ac:dyDescent="0.2">
      <c r="A8" s="39" t="s">
        <v>68</v>
      </c>
      <c r="B8" s="39" t="s">
        <v>70</v>
      </c>
      <c r="C8" s="39" t="s">
        <v>76</v>
      </c>
      <c r="D8" s="39" t="s">
        <v>239</v>
      </c>
      <c r="E8" s="39" t="s">
        <v>84</v>
      </c>
      <c r="F8" s="39" t="s">
        <v>88</v>
      </c>
      <c r="G8" s="39" t="s">
        <v>94</v>
      </c>
      <c r="H8" s="39" t="s">
        <v>100</v>
      </c>
      <c r="I8" s="39" t="s">
        <v>108</v>
      </c>
      <c r="J8" s="39" t="s">
        <v>232</v>
      </c>
      <c r="K8" s="39" t="s">
        <v>231</v>
      </c>
      <c r="L8" s="39" t="s">
        <v>230</v>
      </c>
      <c r="M8" s="39" t="s">
        <v>230</v>
      </c>
      <c r="N8" s="39" t="s">
        <v>231</v>
      </c>
      <c r="O8" s="39" t="s">
        <v>232</v>
      </c>
      <c r="P8" s="39" t="s">
        <v>232</v>
      </c>
      <c r="Q8" s="39" t="s">
        <v>232</v>
      </c>
      <c r="R8" s="39" t="s">
        <v>232</v>
      </c>
      <c r="S8" s="39" t="s">
        <v>232</v>
      </c>
      <c r="T8" s="39" t="s">
        <v>235</v>
      </c>
      <c r="U8" s="39" t="s">
        <v>235</v>
      </c>
      <c r="V8" s="39" t="s">
        <v>235</v>
      </c>
      <c r="W8" s="39" t="s">
        <v>232</v>
      </c>
      <c r="X8" s="39" t="s">
        <v>232</v>
      </c>
      <c r="Y8" s="39" t="s">
        <v>232</v>
      </c>
      <c r="Z8" s="39" t="s">
        <v>232</v>
      </c>
      <c r="AA8" s="39" t="s">
        <v>232</v>
      </c>
      <c r="AB8" s="39" t="s">
        <v>231</v>
      </c>
      <c r="AC8" s="39" t="s">
        <v>232</v>
      </c>
      <c r="AD8" s="39" t="s">
        <v>232</v>
      </c>
      <c r="AE8" s="39" t="s">
        <v>231</v>
      </c>
    </row>
    <row r="9" spans="1:31" ht="22.5" customHeight="1" x14ac:dyDescent="0.2">
      <c r="A9" s="39" t="s">
        <v>68</v>
      </c>
      <c r="B9" s="39" t="s">
        <v>70</v>
      </c>
      <c r="C9" s="39" t="s">
        <v>76</v>
      </c>
      <c r="D9" s="39" t="s">
        <v>238</v>
      </c>
      <c r="E9" s="39" t="s">
        <v>82</v>
      </c>
      <c r="F9" s="39" t="s">
        <v>90</v>
      </c>
      <c r="G9" s="39" t="s">
        <v>94</v>
      </c>
      <c r="H9" s="39" t="s">
        <v>102</v>
      </c>
      <c r="I9" s="39" t="s">
        <v>109</v>
      </c>
      <c r="J9" s="39" t="s">
        <v>240</v>
      </c>
      <c r="K9" s="39" t="s">
        <v>233</v>
      </c>
      <c r="L9" s="39" t="s">
        <v>230</v>
      </c>
      <c r="M9" s="39" t="s">
        <v>230</v>
      </c>
      <c r="N9" s="39" t="s">
        <v>230</v>
      </c>
      <c r="O9" s="39" t="s">
        <v>230</v>
      </c>
      <c r="P9" s="39" t="s">
        <v>240</v>
      </c>
      <c r="Q9" s="39" t="s">
        <v>240</v>
      </c>
      <c r="R9" s="39" t="s">
        <v>230</v>
      </c>
      <c r="S9" s="39" t="s">
        <v>230</v>
      </c>
      <c r="T9" s="39" t="s">
        <v>235</v>
      </c>
      <c r="U9" s="39" t="s">
        <v>235</v>
      </c>
      <c r="V9" s="39" t="s">
        <v>235</v>
      </c>
      <c r="W9" s="39" t="s">
        <v>231</v>
      </c>
      <c r="X9" s="39" t="s">
        <v>231</v>
      </c>
      <c r="Y9" s="39" t="s">
        <v>232</v>
      </c>
      <c r="Z9" s="39" t="s">
        <v>232</v>
      </c>
      <c r="AA9" s="39" t="s">
        <v>233</v>
      </c>
      <c r="AB9" s="39" t="s">
        <v>233</v>
      </c>
      <c r="AC9" s="39" t="s">
        <v>230</v>
      </c>
      <c r="AD9" s="39" t="s">
        <v>231</v>
      </c>
      <c r="AE9" s="39" t="s">
        <v>232</v>
      </c>
    </row>
    <row r="10" spans="1:31" ht="22.5" customHeight="1" x14ac:dyDescent="0.2">
      <c r="A10" s="39" t="s">
        <v>66</v>
      </c>
      <c r="B10" s="39" t="s">
        <v>70</v>
      </c>
      <c r="C10" s="39" t="s">
        <v>76</v>
      </c>
      <c r="D10" s="39" t="s">
        <v>241</v>
      </c>
      <c r="E10" s="39" t="s">
        <v>81</v>
      </c>
      <c r="F10" s="39" t="s">
        <v>88</v>
      </c>
      <c r="G10" s="39" t="s">
        <v>97</v>
      </c>
      <c r="H10" s="39" t="s">
        <v>101</v>
      </c>
      <c r="I10" s="39" t="s">
        <v>106</v>
      </c>
      <c r="J10" s="39" t="s">
        <v>230</v>
      </c>
      <c r="K10" s="39" t="s">
        <v>230</v>
      </c>
      <c r="L10" s="39" t="s">
        <v>230</v>
      </c>
      <c r="M10" s="39" t="s">
        <v>230</v>
      </c>
      <c r="N10" s="39" t="s">
        <v>230</v>
      </c>
      <c r="O10" s="39" t="s">
        <v>232</v>
      </c>
      <c r="P10" s="39" t="s">
        <v>233</v>
      </c>
      <c r="Q10" s="39" t="s">
        <v>233</v>
      </c>
      <c r="R10" s="39" t="s">
        <v>232</v>
      </c>
      <c r="S10" s="39" t="s">
        <v>230</v>
      </c>
      <c r="T10" s="39" t="s">
        <v>234</v>
      </c>
      <c r="U10" s="39" t="s">
        <v>234</v>
      </c>
      <c r="V10" s="39" t="s">
        <v>234</v>
      </c>
      <c r="W10" s="39" t="s">
        <v>232</v>
      </c>
      <c r="X10" s="39" t="s">
        <v>231</v>
      </c>
      <c r="Y10" s="39" t="s">
        <v>230</v>
      </c>
      <c r="Z10" s="39" t="s">
        <v>232</v>
      </c>
      <c r="AA10" s="39" t="s">
        <v>231</v>
      </c>
      <c r="AB10" s="39" t="s">
        <v>231</v>
      </c>
      <c r="AC10" s="39" t="s">
        <v>230</v>
      </c>
      <c r="AD10" s="39" t="s">
        <v>232</v>
      </c>
      <c r="AE10" s="39" t="s">
        <v>232</v>
      </c>
    </row>
    <row r="11" spans="1:31" ht="22.5" customHeight="1" x14ac:dyDescent="0.2">
      <c r="A11" s="39" t="s">
        <v>68</v>
      </c>
      <c r="B11" s="39" t="s">
        <v>71</v>
      </c>
      <c r="C11" s="39" t="s">
        <v>77</v>
      </c>
      <c r="D11" s="39" t="s">
        <v>242</v>
      </c>
      <c r="E11" s="39" t="s">
        <v>81</v>
      </c>
      <c r="F11" s="39" t="s">
        <v>87</v>
      </c>
      <c r="G11" s="39" t="s">
        <v>95</v>
      </c>
      <c r="H11" s="39" t="s">
        <v>100</v>
      </c>
      <c r="I11" s="39" t="s">
        <v>107</v>
      </c>
      <c r="J11" s="39" t="s">
        <v>230</v>
      </c>
      <c r="K11" s="39" t="s">
        <v>233</v>
      </c>
      <c r="L11" s="39" t="s">
        <v>230</v>
      </c>
      <c r="M11" s="39" t="s">
        <v>230</v>
      </c>
      <c r="N11" s="39" t="s">
        <v>230</v>
      </c>
      <c r="O11" s="39" t="s">
        <v>233</v>
      </c>
      <c r="P11" s="39" t="s">
        <v>230</v>
      </c>
      <c r="Q11" s="39" t="s">
        <v>230</v>
      </c>
      <c r="R11" s="39" t="s">
        <v>233</v>
      </c>
      <c r="S11" s="39" t="s">
        <v>232</v>
      </c>
      <c r="T11" s="39" t="s">
        <v>101</v>
      </c>
      <c r="U11" s="39" t="s">
        <v>101</v>
      </c>
      <c r="V11" s="39" t="s">
        <v>101</v>
      </c>
      <c r="W11" s="39" t="s">
        <v>232</v>
      </c>
      <c r="X11" s="39" t="s">
        <v>232</v>
      </c>
      <c r="Y11" s="39" t="s">
        <v>231</v>
      </c>
      <c r="Z11" s="39" t="s">
        <v>231</v>
      </c>
      <c r="AA11" s="39" t="s">
        <v>232</v>
      </c>
      <c r="AB11" s="39" t="s">
        <v>233</v>
      </c>
      <c r="AC11" s="39" t="s">
        <v>232</v>
      </c>
      <c r="AD11" s="39" t="s">
        <v>232</v>
      </c>
      <c r="AE11" s="39" t="s">
        <v>230</v>
      </c>
    </row>
    <row r="12" spans="1:31" ht="22.5" customHeight="1" x14ac:dyDescent="0.2">
      <c r="A12" s="39" t="s">
        <v>68</v>
      </c>
      <c r="B12" s="39" t="s">
        <v>71</v>
      </c>
      <c r="C12" s="39" t="s">
        <v>76</v>
      </c>
      <c r="D12" s="39" t="s">
        <v>236</v>
      </c>
      <c r="E12" s="39" t="s">
        <v>81</v>
      </c>
      <c r="F12" s="39" t="s">
        <v>87</v>
      </c>
      <c r="G12" s="39" t="s">
        <v>95</v>
      </c>
      <c r="H12" s="39" t="s">
        <v>100</v>
      </c>
      <c r="I12" s="39" t="s">
        <v>107</v>
      </c>
      <c r="J12" s="39" t="s">
        <v>232</v>
      </c>
      <c r="K12" s="39" t="s">
        <v>240</v>
      </c>
      <c r="L12" s="39" t="s">
        <v>230</v>
      </c>
      <c r="M12" s="39" t="s">
        <v>230</v>
      </c>
      <c r="N12" s="39" t="s">
        <v>230</v>
      </c>
      <c r="O12" s="39" t="s">
        <v>230</v>
      </c>
      <c r="P12" s="39" t="s">
        <v>240</v>
      </c>
      <c r="Q12" s="39" t="s">
        <v>240</v>
      </c>
      <c r="R12" s="39" t="s">
        <v>230</v>
      </c>
      <c r="S12" s="39" t="s">
        <v>230</v>
      </c>
      <c r="T12" s="39" t="s">
        <v>234</v>
      </c>
      <c r="U12" s="39" t="s">
        <v>234</v>
      </c>
      <c r="V12" s="39" t="s">
        <v>235</v>
      </c>
      <c r="W12" s="39" t="s">
        <v>231</v>
      </c>
      <c r="X12" s="39" t="s">
        <v>230</v>
      </c>
      <c r="Y12" s="39" t="s">
        <v>230</v>
      </c>
      <c r="Z12" s="39" t="s">
        <v>230</v>
      </c>
      <c r="AA12" s="39" t="s">
        <v>230</v>
      </c>
      <c r="AB12" s="39" t="s">
        <v>230</v>
      </c>
      <c r="AC12" s="39" t="s">
        <v>230</v>
      </c>
      <c r="AD12" s="39" t="s">
        <v>230</v>
      </c>
      <c r="AE12" s="39" t="s">
        <v>240</v>
      </c>
    </row>
    <row r="13" spans="1:31" ht="22.5" customHeight="1" x14ac:dyDescent="0.2">
      <c r="A13" s="39" t="s">
        <v>68</v>
      </c>
      <c r="B13" s="39" t="s">
        <v>70</v>
      </c>
      <c r="C13" s="39" t="s">
        <v>76</v>
      </c>
      <c r="D13" s="39" t="s">
        <v>243</v>
      </c>
      <c r="E13" s="39" t="s">
        <v>82</v>
      </c>
      <c r="F13" s="39" t="s">
        <v>87</v>
      </c>
      <c r="G13" s="39" t="s">
        <v>94</v>
      </c>
      <c r="H13" s="39" t="s">
        <v>104</v>
      </c>
      <c r="I13" s="39" t="s">
        <v>108</v>
      </c>
      <c r="J13" s="39" t="s">
        <v>231</v>
      </c>
      <c r="K13" s="39" t="s">
        <v>233</v>
      </c>
      <c r="L13" s="39" t="s">
        <v>231</v>
      </c>
      <c r="M13" s="39" t="s">
        <v>232</v>
      </c>
      <c r="N13" s="39" t="s">
        <v>232</v>
      </c>
      <c r="O13" s="39" t="s">
        <v>232</v>
      </c>
      <c r="P13" s="39" t="s">
        <v>231</v>
      </c>
      <c r="Q13" s="39" t="s">
        <v>231</v>
      </c>
      <c r="R13" s="39" t="s">
        <v>232</v>
      </c>
      <c r="S13" s="39" t="s">
        <v>231</v>
      </c>
      <c r="T13" s="39" t="s">
        <v>234</v>
      </c>
      <c r="U13" s="39" t="s">
        <v>235</v>
      </c>
      <c r="V13" s="39" t="s">
        <v>234</v>
      </c>
      <c r="W13" s="39" t="s">
        <v>231</v>
      </c>
      <c r="X13" s="39" t="s">
        <v>232</v>
      </c>
      <c r="Y13" s="39" t="s">
        <v>232</v>
      </c>
      <c r="Z13" s="39" t="s">
        <v>232</v>
      </c>
      <c r="AA13" s="39" t="s">
        <v>232</v>
      </c>
      <c r="AB13" s="39" t="s">
        <v>232</v>
      </c>
      <c r="AC13" s="39" t="s">
        <v>232</v>
      </c>
      <c r="AD13" s="39" t="s">
        <v>232</v>
      </c>
      <c r="AE13" s="39" t="s">
        <v>233</v>
      </c>
    </row>
    <row r="14" spans="1:31" ht="22.5" customHeight="1" x14ac:dyDescent="0.2">
      <c r="A14" s="39" t="s">
        <v>66</v>
      </c>
      <c r="B14" s="39" t="s">
        <v>70</v>
      </c>
      <c r="C14" s="39" t="s">
        <v>76</v>
      </c>
      <c r="D14" s="39" t="s">
        <v>239</v>
      </c>
      <c r="E14" s="39" t="s">
        <v>83</v>
      </c>
      <c r="F14" s="39" t="s">
        <v>87</v>
      </c>
      <c r="G14" s="39" t="s">
        <v>94</v>
      </c>
      <c r="H14" s="39" t="s">
        <v>100</v>
      </c>
      <c r="I14" s="39" t="s">
        <v>107</v>
      </c>
      <c r="J14" s="39" t="s">
        <v>231</v>
      </c>
      <c r="K14" s="39" t="s">
        <v>233</v>
      </c>
      <c r="L14" s="39" t="s">
        <v>232</v>
      </c>
      <c r="M14" s="39" t="s">
        <v>232</v>
      </c>
      <c r="N14" s="39" t="s">
        <v>232</v>
      </c>
      <c r="O14" s="39" t="s">
        <v>231</v>
      </c>
      <c r="P14" s="39" t="s">
        <v>231</v>
      </c>
      <c r="Q14" s="39" t="s">
        <v>233</v>
      </c>
      <c r="R14" s="39" t="s">
        <v>230</v>
      </c>
      <c r="S14" s="39" t="s">
        <v>232</v>
      </c>
      <c r="T14" s="39" t="s">
        <v>234</v>
      </c>
      <c r="U14" s="39" t="s">
        <v>234</v>
      </c>
      <c r="V14" s="39" t="s">
        <v>101</v>
      </c>
      <c r="W14" s="39" t="s">
        <v>232</v>
      </c>
      <c r="X14" s="39" t="s">
        <v>232</v>
      </c>
      <c r="Y14" s="39" t="s">
        <v>232</v>
      </c>
      <c r="Z14" s="39" t="s">
        <v>231</v>
      </c>
      <c r="AA14" s="39" t="s">
        <v>232</v>
      </c>
      <c r="AB14" s="39" t="s">
        <v>231</v>
      </c>
      <c r="AC14" s="39" t="s">
        <v>232</v>
      </c>
      <c r="AD14" s="39" t="s">
        <v>232</v>
      </c>
      <c r="AE14" s="39" t="s">
        <v>233</v>
      </c>
    </row>
    <row r="15" spans="1:31" ht="22.5" customHeight="1" x14ac:dyDescent="0.2">
      <c r="A15" s="39" t="s">
        <v>66</v>
      </c>
      <c r="B15" s="39" t="s">
        <v>70</v>
      </c>
      <c r="C15" s="39" t="s">
        <v>77</v>
      </c>
      <c r="D15" s="39" t="s">
        <v>244</v>
      </c>
      <c r="E15" s="39" t="s">
        <v>81</v>
      </c>
      <c r="F15" s="39" t="s">
        <v>89</v>
      </c>
      <c r="G15" s="39" t="s">
        <v>96</v>
      </c>
      <c r="H15" s="39" t="s">
        <v>103</v>
      </c>
      <c r="I15" s="39" t="s">
        <v>108</v>
      </c>
      <c r="J15" s="39" t="s">
        <v>231</v>
      </c>
      <c r="K15" s="39" t="s">
        <v>233</v>
      </c>
      <c r="L15" s="39" t="s">
        <v>230</v>
      </c>
      <c r="M15" s="39" t="s">
        <v>232</v>
      </c>
      <c r="N15" s="39" t="s">
        <v>230</v>
      </c>
      <c r="O15" s="39" t="s">
        <v>232</v>
      </c>
      <c r="P15" s="39" t="s">
        <v>233</v>
      </c>
      <c r="Q15" s="39" t="s">
        <v>233</v>
      </c>
      <c r="R15" s="39" t="s">
        <v>231</v>
      </c>
      <c r="S15" s="39" t="s">
        <v>231</v>
      </c>
      <c r="T15" s="39" t="s">
        <v>245</v>
      </c>
      <c r="U15" s="39" t="s">
        <v>245</v>
      </c>
      <c r="V15" s="39" t="s">
        <v>245</v>
      </c>
      <c r="W15" s="39" t="s">
        <v>232</v>
      </c>
      <c r="X15" s="39" t="s">
        <v>232</v>
      </c>
      <c r="Y15" s="39" t="s">
        <v>232</v>
      </c>
      <c r="Z15" s="39" t="s">
        <v>232</v>
      </c>
      <c r="AA15" s="39" t="s">
        <v>232</v>
      </c>
      <c r="AB15" s="39" t="s">
        <v>232</v>
      </c>
      <c r="AC15" s="39" t="s">
        <v>232</v>
      </c>
      <c r="AD15" s="39" t="s">
        <v>232</v>
      </c>
      <c r="AE15" s="39" t="s">
        <v>240</v>
      </c>
    </row>
    <row r="16" spans="1:31" ht="22.5" customHeight="1" x14ac:dyDescent="0.2">
      <c r="A16" s="39" t="s">
        <v>66</v>
      </c>
      <c r="B16" s="39" t="s">
        <v>70</v>
      </c>
      <c r="C16" s="39" t="s">
        <v>77</v>
      </c>
      <c r="D16" s="39" t="s">
        <v>246</v>
      </c>
      <c r="E16" s="39" t="s">
        <v>81</v>
      </c>
      <c r="F16" s="39" t="s">
        <v>88</v>
      </c>
      <c r="G16" s="39" t="s">
        <v>95</v>
      </c>
      <c r="H16" s="39" t="s">
        <v>101</v>
      </c>
      <c r="I16" s="39" t="s">
        <v>107</v>
      </c>
      <c r="J16" s="39" t="s">
        <v>231</v>
      </c>
      <c r="K16" s="39" t="s">
        <v>231</v>
      </c>
      <c r="L16" s="39" t="s">
        <v>232</v>
      </c>
      <c r="M16" s="39" t="s">
        <v>232</v>
      </c>
      <c r="N16" s="39" t="s">
        <v>232</v>
      </c>
      <c r="O16" s="39" t="s">
        <v>232</v>
      </c>
      <c r="P16" s="39" t="s">
        <v>233</v>
      </c>
      <c r="Q16" s="39" t="s">
        <v>233</v>
      </c>
      <c r="R16" s="39" t="s">
        <v>232</v>
      </c>
      <c r="S16" s="39" t="s">
        <v>232</v>
      </c>
      <c r="T16" s="39" t="s">
        <v>247</v>
      </c>
      <c r="U16" s="39" t="s">
        <v>235</v>
      </c>
      <c r="V16" s="39" t="s">
        <v>247</v>
      </c>
      <c r="W16" s="39" t="s">
        <v>230</v>
      </c>
      <c r="X16" s="39" t="s">
        <v>232</v>
      </c>
      <c r="Y16" s="39" t="s">
        <v>232</v>
      </c>
      <c r="Z16" s="39" t="s">
        <v>232</v>
      </c>
      <c r="AA16" s="39" t="s">
        <v>232</v>
      </c>
      <c r="AB16" s="39" t="s">
        <v>232</v>
      </c>
      <c r="AC16" s="39" t="s">
        <v>232</v>
      </c>
      <c r="AD16" s="39" t="s">
        <v>232</v>
      </c>
      <c r="AE16" s="39" t="s">
        <v>233</v>
      </c>
    </row>
    <row r="17" spans="1:31" ht="22.5" customHeight="1" x14ac:dyDescent="0.2">
      <c r="A17" s="39" t="s">
        <v>66</v>
      </c>
      <c r="B17" s="39" t="s">
        <v>70</v>
      </c>
      <c r="C17" s="39" t="s">
        <v>76</v>
      </c>
      <c r="D17" s="39" t="s">
        <v>248</v>
      </c>
      <c r="E17" s="39" t="s">
        <v>81</v>
      </c>
      <c r="F17" s="39" t="s">
        <v>87</v>
      </c>
      <c r="G17" s="39" t="s">
        <v>95</v>
      </c>
      <c r="H17" s="39" t="s">
        <v>103</v>
      </c>
      <c r="I17" s="39" t="s">
        <v>106</v>
      </c>
      <c r="J17" s="39" t="s">
        <v>230</v>
      </c>
      <c r="K17" s="39" t="s">
        <v>240</v>
      </c>
      <c r="L17" s="39" t="s">
        <v>240</v>
      </c>
      <c r="M17" s="39" t="s">
        <v>240</v>
      </c>
      <c r="N17" s="39" t="s">
        <v>240</v>
      </c>
      <c r="O17" s="39" t="s">
        <v>232</v>
      </c>
      <c r="P17" s="39" t="s">
        <v>231</v>
      </c>
      <c r="Q17" s="39" t="s">
        <v>231</v>
      </c>
      <c r="R17" s="39" t="s">
        <v>240</v>
      </c>
      <c r="S17" s="39" t="s">
        <v>240</v>
      </c>
      <c r="T17" s="39" t="s">
        <v>245</v>
      </c>
      <c r="U17" s="39" t="s">
        <v>245</v>
      </c>
      <c r="V17" s="39" t="s">
        <v>235</v>
      </c>
      <c r="W17" s="39" t="s">
        <v>230</v>
      </c>
      <c r="X17" s="39" t="s">
        <v>232</v>
      </c>
      <c r="Y17" s="39" t="s">
        <v>232</v>
      </c>
      <c r="Z17" s="39" t="s">
        <v>232</v>
      </c>
      <c r="AA17" s="39" t="s">
        <v>232</v>
      </c>
      <c r="AB17" s="39" t="s">
        <v>232</v>
      </c>
      <c r="AC17" s="39" t="s">
        <v>232</v>
      </c>
      <c r="AD17" s="39" t="s">
        <v>232</v>
      </c>
      <c r="AE17" s="39" t="s">
        <v>232</v>
      </c>
    </row>
    <row r="18" spans="1:31" ht="22.5" customHeight="1" x14ac:dyDescent="0.2">
      <c r="A18" s="39" t="s">
        <v>66</v>
      </c>
      <c r="B18" s="39" t="s">
        <v>71</v>
      </c>
      <c r="C18" s="39" t="s">
        <v>77</v>
      </c>
      <c r="D18" s="39" t="s">
        <v>249</v>
      </c>
      <c r="E18" s="39" t="s">
        <v>83</v>
      </c>
      <c r="F18" s="39" t="s">
        <v>89</v>
      </c>
      <c r="G18" s="39" t="s">
        <v>96</v>
      </c>
      <c r="H18" s="39" t="s">
        <v>100</v>
      </c>
      <c r="I18" s="39" t="s">
        <v>107</v>
      </c>
      <c r="J18" s="39" t="s">
        <v>232</v>
      </c>
      <c r="K18" s="39" t="s">
        <v>230</v>
      </c>
      <c r="L18" s="39" t="s">
        <v>232</v>
      </c>
      <c r="M18" s="39" t="s">
        <v>230</v>
      </c>
      <c r="N18" s="39" t="s">
        <v>232</v>
      </c>
      <c r="O18" s="39" t="s">
        <v>232</v>
      </c>
      <c r="P18" s="39" t="s">
        <v>230</v>
      </c>
      <c r="Q18" s="39" t="s">
        <v>232</v>
      </c>
      <c r="R18" s="39" t="s">
        <v>231</v>
      </c>
      <c r="S18" s="39" t="s">
        <v>232</v>
      </c>
      <c r="T18" s="39" t="s">
        <v>101</v>
      </c>
      <c r="U18" s="39" t="s">
        <v>101</v>
      </c>
      <c r="V18" s="39" t="s">
        <v>101</v>
      </c>
      <c r="W18" s="39" t="s">
        <v>233</v>
      </c>
      <c r="X18" s="39" t="s">
        <v>232</v>
      </c>
      <c r="Y18" s="39" t="s">
        <v>232</v>
      </c>
      <c r="Z18" s="39" t="s">
        <v>232</v>
      </c>
      <c r="AA18" s="39" t="s">
        <v>232</v>
      </c>
      <c r="AB18" s="39" t="s">
        <v>232</v>
      </c>
      <c r="AC18" s="39" t="s">
        <v>232</v>
      </c>
      <c r="AD18" s="39" t="s">
        <v>232</v>
      </c>
      <c r="AE18" s="39" t="s">
        <v>233</v>
      </c>
    </row>
    <row r="19" spans="1:31" ht="22.5" customHeight="1" x14ac:dyDescent="0.2">
      <c r="A19" s="39" t="s">
        <v>68</v>
      </c>
      <c r="B19" s="39" t="s">
        <v>70</v>
      </c>
      <c r="C19" s="39" t="s">
        <v>77</v>
      </c>
      <c r="D19" s="39" t="s">
        <v>250</v>
      </c>
      <c r="E19" s="39" t="s">
        <v>82</v>
      </c>
      <c r="F19" s="39" t="s">
        <v>89</v>
      </c>
      <c r="G19" s="39" t="s">
        <v>94</v>
      </c>
      <c r="H19" s="39" t="s">
        <v>102</v>
      </c>
      <c r="I19" s="39" t="s">
        <v>109</v>
      </c>
      <c r="J19" s="39" t="s">
        <v>232</v>
      </c>
      <c r="K19" s="39" t="s">
        <v>233</v>
      </c>
      <c r="L19" s="39" t="s">
        <v>232</v>
      </c>
      <c r="M19" s="39" t="s">
        <v>232</v>
      </c>
      <c r="N19" s="39" t="s">
        <v>230</v>
      </c>
      <c r="O19" s="39" t="s">
        <v>232</v>
      </c>
      <c r="P19" s="39" t="s">
        <v>233</v>
      </c>
      <c r="Q19" s="39" t="s">
        <v>233</v>
      </c>
      <c r="R19" s="39" t="s">
        <v>232</v>
      </c>
      <c r="S19" s="39" t="s">
        <v>232</v>
      </c>
      <c r="T19" s="39" t="s">
        <v>235</v>
      </c>
      <c r="U19" s="39" t="s">
        <v>235</v>
      </c>
      <c r="V19" s="39" t="s">
        <v>234</v>
      </c>
      <c r="W19" s="39" t="s">
        <v>232</v>
      </c>
      <c r="X19" s="39" t="s">
        <v>232</v>
      </c>
      <c r="Y19" s="39" t="s">
        <v>232</v>
      </c>
      <c r="Z19" s="39" t="s">
        <v>232</v>
      </c>
      <c r="AA19" s="39" t="s">
        <v>232</v>
      </c>
      <c r="AB19" s="39" t="s">
        <v>232</v>
      </c>
      <c r="AC19" s="39" t="s">
        <v>230</v>
      </c>
      <c r="AD19" s="39" t="s">
        <v>232</v>
      </c>
      <c r="AE19" s="39" t="s">
        <v>233</v>
      </c>
    </row>
    <row r="20" spans="1:31" ht="22.5" customHeight="1" x14ac:dyDescent="0.2">
      <c r="A20" s="39" t="s">
        <v>66</v>
      </c>
      <c r="B20" s="39" t="s">
        <v>70</v>
      </c>
      <c r="C20" s="39" t="s">
        <v>77</v>
      </c>
      <c r="D20" s="39" t="s">
        <v>238</v>
      </c>
      <c r="E20" s="39" t="s">
        <v>82</v>
      </c>
      <c r="F20" s="39" t="s">
        <v>92</v>
      </c>
      <c r="G20" s="39" t="s">
        <v>94</v>
      </c>
      <c r="H20" s="39" t="s">
        <v>103</v>
      </c>
      <c r="I20" s="39" t="s">
        <v>108</v>
      </c>
      <c r="J20" s="39" t="s">
        <v>232</v>
      </c>
      <c r="K20" s="39" t="s">
        <v>231</v>
      </c>
      <c r="L20" s="39" t="s">
        <v>232</v>
      </c>
      <c r="M20" s="39" t="s">
        <v>232</v>
      </c>
      <c r="N20" s="39" t="s">
        <v>232</v>
      </c>
      <c r="O20" s="39" t="s">
        <v>232</v>
      </c>
      <c r="P20" s="39" t="s">
        <v>231</v>
      </c>
      <c r="Q20" s="39" t="s">
        <v>231</v>
      </c>
      <c r="R20" s="39" t="s">
        <v>231</v>
      </c>
      <c r="S20" s="39" t="s">
        <v>232</v>
      </c>
      <c r="T20" s="39" t="s">
        <v>101</v>
      </c>
      <c r="U20" s="39" t="s">
        <v>235</v>
      </c>
      <c r="V20" s="39" t="s">
        <v>101</v>
      </c>
      <c r="W20" s="39" t="s">
        <v>233</v>
      </c>
      <c r="X20" s="39" t="s">
        <v>231</v>
      </c>
      <c r="Y20" s="39" t="s">
        <v>231</v>
      </c>
      <c r="Z20" s="39" t="s">
        <v>231</v>
      </c>
      <c r="AA20" s="39" t="s">
        <v>232</v>
      </c>
      <c r="AB20" s="39" t="s">
        <v>231</v>
      </c>
      <c r="AC20" s="39" t="s">
        <v>231</v>
      </c>
      <c r="AD20" s="39" t="s">
        <v>231</v>
      </c>
      <c r="AE20" s="39" t="s">
        <v>231</v>
      </c>
    </row>
    <row r="21" spans="1:31" ht="22.5" customHeight="1" x14ac:dyDescent="0.2">
      <c r="A21" s="39" t="s">
        <v>67</v>
      </c>
      <c r="B21" s="39" t="s">
        <v>70</v>
      </c>
      <c r="C21" s="39" t="s">
        <v>77</v>
      </c>
      <c r="D21" s="39" t="s">
        <v>246</v>
      </c>
      <c r="E21" s="39" t="s">
        <v>82</v>
      </c>
      <c r="F21" s="39" t="s">
        <v>90</v>
      </c>
      <c r="G21" s="39" t="s">
        <v>94</v>
      </c>
      <c r="H21" s="39" t="s">
        <v>102</v>
      </c>
      <c r="I21" s="39" t="s">
        <v>109</v>
      </c>
      <c r="J21" s="39" t="s">
        <v>240</v>
      </c>
      <c r="K21" s="39" t="s">
        <v>240</v>
      </c>
      <c r="L21" s="39" t="s">
        <v>230</v>
      </c>
      <c r="M21" s="39" t="s">
        <v>230</v>
      </c>
      <c r="N21" s="39" t="s">
        <v>230</v>
      </c>
      <c r="O21" s="39" t="s">
        <v>230</v>
      </c>
      <c r="P21" s="39" t="s">
        <v>240</v>
      </c>
      <c r="Q21" s="39" t="s">
        <v>240</v>
      </c>
      <c r="R21" s="39" t="s">
        <v>230</v>
      </c>
      <c r="S21" s="39" t="s">
        <v>231</v>
      </c>
      <c r="T21" s="39" t="s">
        <v>101</v>
      </c>
      <c r="U21" s="39" t="s">
        <v>101</v>
      </c>
      <c r="V21" s="39" t="s">
        <v>235</v>
      </c>
      <c r="W21" s="39" t="s">
        <v>231</v>
      </c>
      <c r="X21" s="39" t="s">
        <v>230</v>
      </c>
      <c r="Y21" s="39" t="s">
        <v>230</v>
      </c>
      <c r="Z21" s="39" t="s">
        <v>230</v>
      </c>
      <c r="AA21" s="39" t="s">
        <v>230</v>
      </c>
      <c r="AB21" s="39" t="s">
        <v>230</v>
      </c>
      <c r="AC21" s="39" t="s">
        <v>230</v>
      </c>
      <c r="AD21" s="39" t="s">
        <v>230</v>
      </c>
      <c r="AE21" s="39" t="s">
        <v>230</v>
      </c>
    </row>
    <row r="22" spans="1:31" ht="22.5" customHeight="1" x14ac:dyDescent="0.2">
      <c r="A22" s="39" t="s">
        <v>67</v>
      </c>
      <c r="B22" s="39" t="s">
        <v>72</v>
      </c>
      <c r="C22" s="39" t="s">
        <v>76</v>
      </c>
      <c r="D22" s="39" t="s">
        <v>251</v>
      </c>
      <c r="E22" s="39" t="s">
        <v>82</v>
      </c>
      <c r="F22" s="39" t="s">
        <v>92</v>
      </c>
      <c r="G22" s="39" t="s">
        <v>95</v>
      </c>
      <c r="H22" s="39" t="s">
        <v>102</v>
      </c>
      <c r="I22" s="39" t="s">
        <v>109</v>
      </c>
      <c r="J22" s="39" t="s">
        <v>240</v>
      </c>
      <c r="K22" s="39" t="s">
        <v>240</v>
      </c>
      <c r="L22" s="39" t="s">
        <v>230</v>
      </c>
      <c r="M22" s="39" t="s">
        <v>230</v>
      </c>
      <c r="N22" s="39" t="s">
        <v>230</v>
      </c>
      <c r="O22" s="39" t="s">
        <v>230</v>
      </c>
      <c r="P22" s="39" t="s">
        <v>230</v>
      </c>
      <c r="Q22" s="39" t="s">
        <v>230</v>
      </c>
      <c r="R22" s="39" t="s">
        <v>231</v>
      </c>
      <c r="S22" s="39" t="s">
        <v>231</v>
      </c>
      <c r="T22" s="39" t="s">
        <v>247</v>
      </c>
      <c r="U22" s="39" t="s">
        <v>247</v>
      </c>
      <c r="V22" s="39" t="s">
        <v>247</v>
      </c>
      <c r="W22" s="39" t="s">
        <v>230</v>
      </c>
      <c r="X22" s="39" t="s">
        <v>230</v>
      </c>
      <c r="Y22" s="39" t="s">
        <v>230</v>
      </c>
      <c r="Z22" s="39" t="s">
        <v>230</v>
      </c>
      <c r="AA22" s="39" t="s">
        <v>230</v>
      </c>
      <c r="AB22" s="39" t="s">
        <v>230</v>
      </c>
      <c r="AC22" s="39" t="s">
        <v>230</v>
      </c>
      <c r="AD22" s="39" t="s">
        <v>230</v>
      </c>
      <c r="AE22" s="39" t="s">
        <v>230</v>
      </c>
    </row>
    <row r="23" spans="1:31" ht="22.5" customHeight="1" x14ac:dyDescent="0.2">
      <c r="A23" s="39" t="s">
        <v>67</v>
      </c>
      <c r="B23" s="39" t="s">
        <v>70</v>
      </c>
      <c r="C23" s="39" t="s">
        <v>76</v>
      </c>
      <c r="D23" s="39" t="s">
        <v>242</v>
      </c>
      <c r="E23" s="39" t="s">
        <v>81</v>
      </c>
      <c r="F23" s="39" t="s">
        <v>87</v>
      </c>
      <c r="G23" s="39" t="s">
        <v>94</v>
      </c>
      <c r="H23" s="39" t="s">
        <v>101</v>
      </c>
      <c r="I23" s="39" t="s">
        <v>107</v>
      </c>
      <c r="J23" s="39" t="s">
        <v>230</v>
      </c>
      <c r="K23" s="39" t="s">
        <v>230</v>
      </c>
      <c r="L23" s="39" t="s">
        <v>233</v>
      </c>
      <c r="M23" s="39" t="s">
        <v>232</v>
      </c>
      <c r="N23" s="39" t="s">
        <v>232</v>
      </c>
      <c r="O23" s="39" t="s">
        <v>232</v>
      </c>
      <c r="P23" s="39" t="s">
        <v>230</v>
      </c>
      <c r="Q23" s="39" t="s">
        <v>230</v>
      </c>
      <c r="R23" s="39" t="s">
        <v>231</v>
      </c>
      <c r="S23" s="39" t="s">
        <v>232</v>
      </c>
      <c r="T23" s="39" t="s">
        <v>235</v>
      </c>
      <c r="U23" s="39" t="s">
        <v>245</v>
      </c>
      <c r="V23" s="39" t="s">
        <v>235</v>
      </c>
      <c r="W23" s="39" t="s">
        <v>231</v>
      </c>
      <c r="X23" s="39" t="s">
        <v>231</v>
      </c>
      <c r="Y23" s="39" t="s">
        <v>232</v>
      </c>
      <c r="Z23" s="39" t="s">
        <v>231</v>
      </c>
      <c r="AA23" s="39" t="s">
        <v>231</v>
      </c>
      <c r="AB23" s="39" t="s">
        <v>231</v>
      </c>
      <c r="AC23" s="39" t="s">
        <v>231</v>
      </c>
      <c r="AD23" s="39" t="s">
        <v>231</v>
      </c>
      <c r="AE23" s="39" t="s">
        <v>232</v>
      </c>
    </row>
    <row r="24" spans="1:31" ht="22.5" customHeight="1" x14ac:dyDescent="0.2">
      <c r="A24" s="39" t="s">
        <v>67</v>
      </c>
      <c r="B24" s="39" t="s">
        <v>73</v>
      </c>
      <c r="C24" s="39" t="s">
        <v>77</v>
      </c>
      <c r="D24" s="39" t="s">
        <v>237</v>
      </c>
      <c r="E24" s="39" t="s">
        <v>81</v>
      </c>
      <c r="F24" s="39" t="s">
        <v>87</v>
      </c>
      <c r="G24" s="39" t="s">
        <v>95</v>
      </c>
      <c r="H24" s="39" t="s">
        <v>101</v>
      </c>
      <c r="I24" s="39" t="s">
        <v>106</v>
      </c>
      <c r="J24" s="39" t="s">
        <v>230</v>
      </c>
      <c r="K24" s="39" t="s">
        <v>232</v>
      </c>
      <c r="L24" s="39" t="s">
        <v>231</v>
      </c>
      <c r="M24" s="39" t="s">
        <v>232</v>
      </c>
      <c r="N24" s="39" t="s">
        <v>232</v>
      </c>
      <c r="O24" s="39" t="s">
        <v>232</v>
      </c>
      <c r="P24" s="39" t="s">
        <v>232</v>
      </c>
      <c r="Q24" s="39" t="s">
        <v>230</v>
      </c>
      <c r="R24" s="39" t="s">
        <v>232</v>
      </c>
      <c r="S24" s="39" t="s">
        <v>230</v>
      </c>
      <c r="T24" s="39" t="s">
        <v>235</v>
      </c>
      <c r="U24" s="39" t="s">
        <v>101</v>
      </c>
      <c r="V24" s="39" t="s">
        <v>234</v>
      </c>
      <c r="W24" s="39" t="s">
        <v>231</v>
      </c>
      <c r="X24" s="39" t="s">
        <v>232</v>
      </c>
      <c r="Y24" s="39" t="s">
        <v>232</v>
      </c>
      <c r="Z24" s="39" t="s">
        <v>231</v>
      </c>
      <c r="AA24" s="39" t="s">
        <v>231</v>
      </c>
      <c r="AB24" s="39" t="s">
        <v>231</v>
      </c>
      <c r="AC24" s="39" t="s">
        <v>232</v>
      </c>
      <c r="AD24" s="39" t="s">
        <v>231</v>
      </c>
      <c r="AE24" s="39" t="s">
        <v>231</v>
      </c>
    </row>
    <row r="25" spans="1:31" ht="22.5" customHeight="1" x14ac:dyDescent="0.2">
      <c r="A25" s="39" t="s">
        <v>66</v>
      </c>
      <c r="B25" s="39" t="s">
        <v>70</v>
      </c>
      <c r="C25" s="39" t="s">
        <v>77</v>
      </c>
      <c r="D25" s="39" t="s">
        <v>242</v>
      </c>
      <c r="E25" s="39" t="s">
        <v>81</v>
      </c>
      <c r="F25" s="39" t="s">
        <v>91</v>
      </c>
      <c r="G25" s="39" t="s">
        <v>96</v>
      </c>
      <c r="H25" s="39" t="s">
        <v>101</v>
      </c>
      <c r="I25" s="39" t="s">
        <v>107</v>
      </c>
      <c r="J25" s="39" t="s">
        <v>232</v>
      </c>
      <c r="K25" s="39" t="s">
        <v>233</v>
      </c>
      <c r="L25" s="39" t="s">
        <v>232</v>
      </c>
      <c r="M25" s="39" t="s">
        <v>232</v>
      </c>
      <c r="N25" s="39" t="s">
        <v>232</v>
      </c>
      <c r="O25" s="39" t="s">
        <v>232</v>
      </c>
      <c r="P25" s="39" t="s">
        <v>230</v>
      </c>
      <c r="Q25" s="39" t="s">
        <v>240</v>
      </c>
      <c r="R25" s="39" t="s">
        <v>230</v>
      </c>
      <c r="S25" s="39" t="s">
        <v>233</v>
      </c>
      <c r="T25" s="39" t="s">
        <v>245</v>
      </c>
      <c r="U25" s="39" t="s">
        <v>245</v>
      </c>
      <c r="V25" s="39" t="s">
        <v>235</v>
      </c>
      <c r="W25" s="39" t="s">
        <v>233</v>
      </c>
      <c r="X25" s="39" t="s">
        <v>232</v>
      </c>
      <c r="Y25" s="39" t="s">
        <v>230</v>
      </c>
      <c r="Z25" s="39" t="s">
        <v>232</v>
      </c>
      <c r="AA25" s="39" t="s">
        <v>231</v>
      </c>
      <c r="AB25" s="39" t="s">
        <v>231</v>
      </c>
      <c r="AC25" s="39" t="s">
        <v>232</v>
      </c>
      <c r="AD25" s="39" t="s">
        <v>231</v>
      </c>
      <c r="AE25" s="39" t="s">
        <v>232</v>
      </c>
    </row>
    <row r="26" spans="1:31" ht="22.5" customHeight="1" x14ac:dyDescent="0.2">
      <c r="A26" s="39" t="s">
        <v>66</v>
      </c>
      <c r="B26" s="39" t="s">
        <v>70</v>
      </c>
      <c r="C26" s="39" t="s">
        <v>76</v>
      </c>
      <c r="D26" s="39" t="s">
        <v>242</v>
      </c>
      <c r="E26" s="39" t="s">
        <v>81</v>
      </c>
      <c r="F26" s="39" t="s">
        <v>87</v>
      </c>
      <c r="G26" s="39" t="s">
        <v>94</v>
      </c>
      <c r="H26" s="39" t="s">
        <v>100</v>
      </c>
      <c r="I26" s="39" t="s">
        <v>106</v>
      </c>
      <c r="J26" s="39" t="s">
        <v>232</v>
      </c>
      <c r="K26" s="39" t="s">
        <v>232</v>
      </c>
      <c r="L26" s="39" t="s">
        <v>231</v>
      </c>
      <c r="M26" s="39" t="s">
        <v>231</v>
      </c>
      <c r="N26" s="39" t="s">
        <v>232</v>
      </c>
      <c r="O26" s="39" t="s">
        <v>232</v>
      </c>
      <c r="P26" s="39" t="s">
        <v>232</v>
      </c>
      <c r="Q26" s="39" t="s">
        <v>232</v>
      </c>
      <c r="R26" s="39" t="s">
        <v>231</v>
      </c>
      <c r="S26" s="39" t="s">
        <v>232</v>
      </c>
      <c r="T26" s="39" t="s">
        <v>235</v>
      </c>
      <c r="U26" s="39" t="s">
        <v>235</v>
      </c>
      <c r="V26" s="39" t="s">
        <v>234</v>
      </c>
      <c r="W26" s="39" t="s">
        <v>231</v>
      </c>
      <c r="X26" s="39" t="s">
        <v>232</v>
      </c>
      <c r="Y26" s="39" t="s">
        <v>232</v>
      </c>
      <c r="Z26" s="39" t="s">
        <v>231</v>
      </c>
      <c r="AA26" s="39" t="s">
        <v>232</v>
      </c>
      <c r="AB26" s="39" t="s">
        <v>231</v>
      </c>
      <c r="AC26" s="39" t="s">
        <v>231</v>
      </c>
      <c r="AD26" s="39" t="s">
        <v>231</v>
      </c>
      <c r="AE26" s="39" t="s">
        <v>231</v>
      </c>
    </row>
    <row r="27" spans="1:31" ht="22.5" customHeight="1" x14ac:dyDescent="0.2">
      <c r="A27" s="39" t="s">
        <v>67</v>
      </c>
      <c r="B27" s="39" t="s">
        <v>73</v>
      </c>
      <c r="C27" s="39" t="s">
        <v>77</v>
      </c>
      <c r="D27" s="39" t="s">
        <v>252</v>
      </c>
      <c r="E27" s="39" t="s">
        <v>81</v>
      </c>
      <c r="F27" s="39" t="s">
        <v>87</v>
      </c>
      <c r="G27" s="39" t="s">
        <v>95</v>
      </c>
      <c r="H27" s="39" t="s">
        <v>100</v>
      </c>
      <c r="I27" s="39" t="s">
        <v>107</v>
      </c>
      <c r="J27" s="39" t="s">
        <v>232</v>
      </c>
      <c r="K27" s="39" t="s">
        <v>233</v>
      </c>
      <c r="L27" s="39" t="s">
        <v>231</v>
      </c>
      <c r="M27" s="39" t="s">
        <v>231</v>
      </c>
      <c r="N27" s="39" t="s">
        <v>231</v>
      </c>
      <c r="O27" s="39" t="s">
        <v>232</v>
      </c>
      <c r="P27" s="39" t="s">
        <v>240</v>
      </c>
      <c r="Q27" s="39" t="s">
        <v>240</v>
      </c>
      <c r="R27" s="39" t="s">
        <v>232</v>
      </c>
      <c r="S27" s="39" t="s">
        <v>232</v>
      </c>
      <c r="T27" s="39" t="s">
        <v>234</v>
      </c>
      <c r="U27" s="39" t="s">
        <v>234</v>
      </c>
      <c r="V27" s="39" t="s">
        <v>245</v>
      </c>
      <c r="W27" s="39" t="s">
        <v>232</v>
      </c>
      <c r="X27" s="39" t="s">
        <v>232</v>
      </c>
      <c r="Y27" s="39" t="s">
        <v>232</v>
      </c>
      <c r="Z27" s="39" t="s">
        <v>232</v>
      </c>
      <c r="AA27" s="39" t="s">
        <v>232</v>
      </c>
      <c r="AB27" s="39" t="s">
        <v>232</v>
      </c>
      <c r="AC27" s="39" t="s">
        <v>232</v>
      </c>
      <c r="AD27" s="39" t="s">
        <v>232</v>
      </c>
      <c r="AE27" s="39" t="s">
        <v>240</v>
      </c>
    </row>
    <row r="28" spans="1:31" ht="22.5" customHeight="1" x14ac:dyDescent="0.2">
      <c r="A28" s="39" t="s">
        <v>66</v>
      </c>
      <c r="B28" s="39" t="s">
        <v>70</v>
      </c>
      <c r="C28" s="39" t="s">
        <v>76</v>
      </c>
      <c r="D28" s="39" t="s">
        <v>237</v>
      </c>
      <c r="E28" s="39" t="s">
        <v>81</v>
      </c>
      <c r="F28" s="39" t="s">
        <v>88</v>
      </c>
      <c r="G28" s="39" t="s">
        <v>96</v>
      </c>
      <c r="H28" s="39" t="s">
        <v>101</v>
      </c>
      <c r="I28" s="39" t="s">
        <v>107</v>
      </c>
      <c r="J28" s="39" t="s">
        <v>230</v>
      </c>
      <c r="K28" s="39" t="s">
        <v>233</v>
      </c>
      <c r="L28" s="39" t="s">
        <v>230</v>
      </c>
      <c r="M28" s="39" t="s">
        <v>232</v>
      </c>
      <c r="N28" s="39" t="s">
        <v>230</v>
      </c>
      <c r="O28" s="39" t="s">
        <v>232</v>
      </c>
      <c r="P28" s="39" t="s">
        <v>230</v>
      </c>
      <c r="Q28" s="39" t="s">
        <v>232</v>
      </c>
      <c r="R28" s="39" t="s">
        <v>232</v>
      </c>
      <c r="S28" s="39" t="s">
        <v>231</v>
      </c>
      <c r="T28" s="39" t="s">
        <v>234</v>
      </c>
      <c r="U28" s="39" t="s">
        <v>234</v>
      </c>
      <c r="V28" s="39" t="s">
        <v>235</v>
      </c>
      <c r="W28" s="39" t="s">
        <v>232</v>
      </c>
      <c r="X28" s="39" t="s">
        <v>230</v>
      </c>
      <c r="Y28" s="39" t="s">
        <v>230</v>
      </c>
      <c r="Z28" s="39" t="s">
        <v>230</v>
      </c>
      <c r="AA28" s="39" t="s">
        <v>230</v>
      </c>
      <c r="AB28" s="39" t="s">
        <v>230</v>
      </c>
      <c r="AC28" s="39" t="s">
        <v>230</v>
      </c>
      <c r="AD28" s="39" t="s">
        <v>230</v>
      </c>
      <c r="AE28" s="39" t="s">
        <v>240</v>
      </c>
    </row>
    <row r="29" spans="1:31" ht="22.5" customHeight="1" x14ac:dyDescent="0.2">
      <c r="A29" s="39" t="s">
        <v>67</v>
      </c>
      <c r="B29" s="39" t="s">
        <v>70</v>
      </c>
      <c r="C29" s="39" t="s">
        <v>76</v>
      </c>
      <c r="D29" s="39" t="s">
        <v>237</v>
      </c>
      <c r="E29" s="39" t="s">
        <v>81</v>
      </c>
      <c r="F29" s="39" t="s">
        <v>88</v>
      </c>
      <c r="G29" s="39" t="s">
        <v>95</v>
      </c>
      <c r="H29" s="39" t="s">
        <v>100</v>
      </c>
      <c r="I29" s="39" t="s">
        <v>106</v>
      </c>
      <c r="J29" s="39" t="s">
        <v>232</v>
      </c>
      <c r="K29" s="39" t="s">
        <v>231</v>
      </c>
      <c r="L29" s="39" t="s">
        <v>232</v>
      </c>
      <c r="M29" s="39" t="s">
        <v>230</v>
      </c>
      <c r="N29" s="39" t="s">
        <v>232</v>
      </c>
      <c r="O29" s="39" t="s">
        <v>233</v>
      </c>
      <c r="P29" s="39" t="s">
        <v>230</v>
      </c>
      <c r="Q29" s="39" t="s">
        <v>230</v>
      </c>
      <c r="R29" s="39" t="s">
        <v>231</v>
      </c>
      <c r="S29" s="39" t="s">
        <v>232</v>
      </c>
      <c r="T29" s="39" t="s">
        <v>234</v>
      </c>
      <c r="U29" s="39" t="s">
        <v>235</v>
      </c>
      <c r="V29" s="39" t="s">
        <v>235</v>
      </c>
      <c r="W29" s="39" t="s">
        <v>232</v>
      </c>
      <c r="X29" s="39" t="s">
        <v>233</v>
      </c>
      <c r="Y29" s="39" t="s">
        <v>233</v>
      </c>
      <c r="Z29" s="39" t="s">
        <v>233</v>
      </c>
      <c r="AA29" s="39" t="s">
        <v>233</v>
      </c>
      <c r="AB29" s="39" t="s">
        <v>233</v>
      </c>
      <c r="AC29" s="39" t="s">
        <v>233</v>
      </c>
      <c r="AD29" s="39" t="s">
        <v>233</v>
      </c>
      <c r="AE29" s="39" t="s">
        <v>230</v>
      </c>
    </row>
    <row r="30" spans="1:31" ht="22.5" customHeight="1" x14ac:dyDescent="0.2">
      <c r="A30" s="39" t="s">
        <v>67</v>
      </c>
      <c r="B30" s="39" t="s">
        <v>70</v>
      </c>
      <c r="C30" s="39" t="s">
        <v>77</v>
      </c>
      <c r="D30" s="39" t="s">
        <v>253</v>
      </c>
      <c r="E30" s="39" t="s">
        <v>81</v>
      </c>
      <c r="F30" s="39" t="s">
        <v>88</v>
      </c>
      <c r="G30" s="39" t="s">
        <v>95</v>
      </c>
      <c r="H30" s="39" t="s">
        <v>101</v>
      </c>
      <c r="I30" s="39" t="s">
        <v>106</v>
      </c>
      <c r="J30" s="39" t="s">
        <v>232</v>
      </c>
      <c r="K30" s="39" t="s">
        <v>240</v>
      </c>
      <c r="L30" s="39" t="s">
        <v>232</v>
      </c>
      <c r="M30" s="39" t="s">
        <v>232</v>
      </c>
      <c r="N30" s="39" t="s">
        <v>232</v>
      </c>
      <c r="O30" s="39" t="s">
        <v>232</v>
      </c>
      <c r="P30" s="39" t="s">
        <v>233</v>
      </c>
      <c r="Q30" s="39" t="s">
        <v>240</v>
      </c>
      <c r="R30" s="39" t="s">
        <v>232</v>
      </c>
      <c r="S30" s="39" t="s">
        <v>232</v>
      </c>
      <c r="T30" s="39" t="s">
        <v>245</v>
      </c>
      <c r="U30" s="39" t="s">
        <v>245</v>
      </c>
      <c r="V30" s="39" t="s">
        <v>245</v>
      </c>
      <c r="W30" s="39" t="s">
        <v>232</v>
      </c>
      <c r="X30" s="39" t="s">
        <v>232</v>
      </c>
      <c r="Y30" s="39" t="s">
        <v>232</v>
      </c>
      <c r="Z30" s="39" t="s">
        <v>232</v>
      </c>
      <c r="AA30" s="39" t="s">
        <v>232</v>
      </c>
      <c r="AB30" s="39" t="s">
        <v>232</v>
      </c>
      <c r="AC30" s="39" t="s">
        <v>231</v>
      </c>
      <c r="AD30" s="39" t="s">
        <v>232</v>
      </c>
      <c r="AE30" s="39" t="s">
        <v>240</v>
      </c>
    </row>
    <row r="31" spans="1:31" ht="22.5" customHeight="1" x14ac:dyDescent="0.2">
      <c r="A31" s="39" t="s">
        <v>67</v>
      </c>
      <c r="B31" s="39" t="s">
        <v>70</v>
      </c>
      <c r="C31" s="39" t="s">
        <v>77</v>
      </c>
      <c r="D31" s="39" t="s">
        <v>254</v>
      </c>
      <c r="E31" s="39" t="s">
        <v>81</v>
      </c>
      <c r="F31" s="39" t="s">
        <v>87</v>
      </c>
      <c r="G31" s="39" t="s">
        <v>95</v>
      </c>
      <c r="H31" s="39" t="s">
        <v>100</v>
      </c>
      <c r="I31" s="39" t="s">
        <v>107</v>
      </c>
      <c r="J31" s="39" t="s">
        <v>232</v>
      </c>
      <c r="K31" s="39" t="s">
        <v>232</v>
      </c>
      <c r="L31" s="39" t="s">
        <v>230</v>
      </c>
      <c r="M31" s="39" t="s">
        <v>232</v>
      </c>
      <c r="N31" s="39" t="s">
        <v>232</v>
      </c>
      <c r="O31" s="39" t="s">
        <v>231</v>
      </c>
      <c r="P31" s="39" t="s">
        <v>232</v>
      </c>
      <c r="Q31" s="39" t="s">
        <v>231</v>
      </c>
      <c r="R31" s="39" t="s">
        <v>232</v>
      </c>
      <c r="S31" s="39" t="s">
        <v>232</v>
      </c>
      <c r="T31" s="39" t="s">
        <v>235</v>
      </c>
      <c r="U31" s="39" t="s">
        <v>245</v>
      </c>
      <c r="V31" s="39" t="s">
        <v>235</v>
      </c>
      <c r="W31" s="39" t="s">
        <v>232</v>
      </c>
      <c r="X31" s="39" t="s">
        <v>232</v>
      </c>
      <c r="Y31" s="39" t="s">
        <v>231</v>
      </c>
      <c r="Z31" s="39" t="s">
        <v>232</v>
      </c>
      <c r="AA31" s="39" t="s">
        <v>232</v>
      </c>
      <c r="AB31" s="39" t="s">
        <v>233</v>
      </c>
      <c r="AC31" s="39" t="s">
        <v>231</v>
      </c>
      <c r="AD31" s="39" t="s">
        <v>231</v>
      </c>
      <c r="AE31" s="39" t="s">
        <v>240</v>
      </c>
    </row>
    <row r="32" spans="1:31" ht="22.5" customHeight="1" x14ac:dyDescent="0.2">
      <c r="A32" s="39" t="s">
        <v>66</v>
      </c>
      <c r="B32" s="39" t="s">
        <v>71</v>
      </c>
      <c r="C32" s="39" t="s">
        <v>77</v>
      </c>
      <c r="D32" s="39" t="s">
        <v>242</v>
      </c>
      <c r="E32" s="39" t="s">
        <v>81</v>
      </c>
      <c r="F32" s="39" t="s">
        <v>88</v>
      </c>
      <c r="G32" s="39" t="s">
        <v>95</v>
      </c>
      <c r="H32" s="39" t="s">
        <v>100</v>
      </c>
      <c r="I32" s="39" t="s">
        <v>107</v>
      </c>
      <c r="J32" s="39" t="s">
        <v>232</v>
      </c>
      <c r="K32" s="39" t="s">
        <v>231</v>
      </c>
      <c r="L32" s="39" t="s">
        <v>230</v>
      </c>
      <c r="M32" s="39" t="s">
        <v>230</v>
      </c>
      <c r="N32" s="39" t="s">
        <v>232</v>
      </c>
      <c r="O32" s="39" t="s">
        <v>231</v>
      </c>
      <c r="P32" s="39" t="s">
        <v>231</v>
      </c>
      <c r="Q32" s="39" t="s">
        <v>231</v>
      </c>
      <c r="R32" s="39" t="s">
        <v>232</v>
      </c>
      <c r="S32" s="39" t="s">
        <v>232</v>
      </c>
      <c r="T32" s="39" t="s">
        <v>234</v>
      </c>
      <c r="U32" s="39" t="s">
        <v>234</v>
      </c>
      <c r="V32" s="39" t="s">
        <v>235</v>
      </c>
      <c r="W32" s="39" t="s">
        <v>233</v>
      </c>
      <c r="X32" s="39" t="s">
        <v>232</v>
      </c>
      <c r="Y32" s="39" t="s">
        <v>232</v>
      </c>
      <c r="Z32" s="39" t="s">
        <v>231</v>
      </c>
      <c r="AA32" s="39" t="s">
        <v>232</v>
      </c>
      <c r="AB32" s="39" t="s">
        <v>231</v>
      </c>
      <c r="AC32" s="39" t="s">
        <v>232</v>
      </c>
      <c r="AD32" s="39" t="s">
        <v>232</v>
      </c>
      <c r="AE32" s="39" t="s">
        <v>233</v>
      </c>
    </row>
    <row r="33" spans="1:31" ht="22.5" customHeight="1" x14ac:dyDescent="0.2">
      <c r="A33" s="39" t="s">
        <v>66</v>
      </c>
      <c r="B33" s="39" t="s">
        <v>70</v>
      </c>
      <c r="C33" s="39" t="s">
        <v>77</v>
      </c>
      <c r="D33" s="39" t="s">
        <v>237</v>
      </c>
      <c r="E33" s="39" t="s">
        <v>81</v>
      </c>
      <c r="F33" s="39" t="s">
        <v>88</v>
      </c>
      <c r="G33" s="39" t="s">
        <v>95</v>
      </c>
      <c r="H33" s="39" t="s">
        <v>101</v>
      </c>
      <c r="I33" s="39" t="s">
        <v>106</v>
      </c>
      <c r="J33" s="39" t="s">
        <v>232</v>
      </c>
      <c r="K33" s="39" t="s">
        <v>233</v>
      </c>
      <c r="L33" s="39" t="s">
        <v>230</v>
      </c>
      <c r="M33" s="39" t="s">
        <v>230</v>
      </c>
      <c r="N33" s="39" t="s">
        <v>230</v>
      </c>
      <c r="O33" s="39" t="s">
        <v>231</v>
      </c>
      <c r="P33" s="39" t="s">
        <v>232</v>
      </c>
      <c r="Q33" s="39" t="s">
        <v>232</v>
      </c>
      <c r="R33" s="39" t="s">
        <v>232</v>
      </c>
      <c r="S33" s="39" t="s">
        <v>232</v>
      </c>
      <c r="T33" s="39" t="s">
        <v>235</v>
      </c>
      <c r="U33" s="39" t="s">
        <v>235</v>
      </c>
      <c r="V33" s="39" t="s">
        <v>235</v>
      </c>
      <c r="W33" s="39" t="s">
        <v>233</v>
      </c>
      <c r="X33" s="39" t="s">
        <v>230</v>
      </c>
      <c r="Y33" s="39" t="s">
        <v>230</v>
      </c>
      <c r="Z33" s="39" t="s">
        <v>230</v>
      </c>
      <c r="AA33" s="39" t="s">
        <v>230</v>
      </c>
      <c r="AB33" s="39" t="s">
        <v>230</v>
      </c>
      <c r="AC33" s="39" t="s">
        <v>230</v>
      </c>
      <c r="AD33" s="39" t="s">
        <v>230</v>
      </c>
      <c r="AE33" s="39" t="s">
        <v>230</v>
      </c>
    </row>
    <row r="34" spans="1:31" ht="22.5" customHeight="1" x14ac:dyDescent="0.2">
      <c r="A34" s="39" t="s">
        <v>68</v>
      </c>
      <c r="B34" s="39" t="s">
        <v>70</v>
      </c>
      <c r="C34" s="39" t="s">
        <v>77</v>
      </c>
      <c r="D34" s="39" t="s">
        <v>255</v>
      </c>
      <c r="E34" s="39" t="s">
        <v>85</v>
      </c>
      <c r="F34" s="39" t="s">
        <v>90</v>
      </c>
      <c r="G34" s="39" t="s">
        <v>95</v>
      </c>
      <c r="H34" s="39" t="s">
        <v>101</v>
      </c>
      <c r="I34" s="39" t="s">
        <v>109</v>
      </c>
      <c r="J34" s="39" t="s">
        <v>230</v>
      </c>
      <c r="K34" s="39" t="s">
        <v>240</v>
      </c>
      <c r="L34" s="39" t="s">
        <v>230</v>
      </c>
      <c r="M34" s="39" t="s">
        <v>232</v>
      </c>
      <c r="N34" s="39" t="s">
        <v>230</v>
      </c>
      <c r="O34" s="39" t="s">
        <v>230</v>
      </c>
      <c r="P34" s="39" t="s">
        <v>233</v>
      </c>
      <c r="Q34" s="39" t="s">
        <v>233</v>
      </c>
      <c r="R34" s="39" t="s">
        <v>230</v>
      </c>
      <c r="S34" s="39" t="s">
        <v>232</v>
      </c>
      <c r="T34" s="39" t="s">
        <v>235</v>
      </c>
      <c r="U34" s="39" t="s">
        <v>235</v>
      </c>
      <c r="V34" s="39" t="s">
        <v>234</v>
      </c>
      <c r="W34" s="39" t="s">
        <v>232</v>
      </c>
      <c r="X34" s="39" t="s">
        <v>232</v>
      </c>
      <c r="Y34" s="39" t="s">
        <v>232</v>
      </c>
      <c r="Z34" s="39" t="s">
        <v>232</v>
      </c>
      <c r="AA34" s="39" t="s">
        <v>232</v>
      </c>
      <c r="AB34" s="39" t="s">
        <v>232</v>
      </c>
      <c r="AC34" s="39" t="s">
        <v>230</v>
      </c>
      <c r="AD34" s="39" t="s">
        <v>230</v>
      </c>
      <c r="AE34" s="39" t="s">
        <v>240</v>
      </c>
    </row>
    <row r="35" spans="1:31" ht="22.5" customHeight="1" x14ac:dyDescent="0.2">
      <c r="A35" s="39" t="s">
        <v>67</v>
      </c>
      <c r="B35" s="39" t="s">
        <v>72</v>
      </c>
      <c r="C35" s="39" t="s">
        <v>77</v>
      </c>
      <c r="D35" s="39" t="s">
        <v>256</v>
      </c>
      <c r="E35" s="39" t="s">
        <v>81</v>
      </c>
      <c r="F35" s="39" t="s">
        <v>87</v>
      </c>
      <c r="G35" s="39" t="s">
        <v>94</v>
      </c>
      <c r="H35" s="39" t="s">
        <v>101</v>
      </c>
      <c r="I35" s="39" t="s">
        <v>107</v>
      </c>
      <c r="J35" s="39" t="s">
        <v>230</v>
      </c>
      <c r="K35" s="39" t="s">
        <v>232</v>
      </c>
      <c r="L35" s="39" t="s">
        <v>232</v>
      </c>
      <c r="M35" s="39" t="s">
        <v>233</v>
      </c>
      <c r="N35" s="39" t="s">
        <v>231</v>
      </c>
      <c r="O35" s="39" t="s">
        <v>232</v>
      </c>
      <c r="P35" s="39" t="s">
        <v>231</v>
      </c>
      <c r="Q35" s="39" t="s">
        <v>232</v>
      </c>
      <c r="R35" s="39" t="s">
        <v>232</v>
      </c>
      <c r="S35" s="39" t="s">
        <v>230</v>
      </c>
      <c r="T35" s="39" t="s">
        <v>235</v>
      </c>
      <c r="U35" s="39" t="s">
        <v>101</v>
      </c>
      <c r="V35" s="39" t="s">
        <v>235</v>
      </c>
      <c r="W35" s="39" t="s">
        <v>231</v>
      </c>
      <c r="X35" s="39" t="s">
        <v>231</v>
      </c>
      <c r="Y35" s="39" t="s">
        <v>232</v>
      </c>
      <c r="Z35" s="39" t="s">
        <v>231</v>
      </c>
      <c r="AA35" s="39" t="s">
        <v>230</v>
      </c>
      <c r="AB35" s="39" t="s">
        <v>232</v>
      </c>
      <c r="AC35" s="39" t="s">
        <v>231</v>
      </c>
      <c r="AD35" s="39" t="s">
        <v>231</v>
      </c>
      <c r="AE35" s="39" t="s">
        <v>232</v>
      </c>
    </row>
    <row r="36" spans="1:31" ht="22.5" customHeight="1" x14ac:dyDescent="0.2">
      <c r="A36" s="39" t="s">
        <v>67</v>
      </c>
      <c r="B36" s="39" t="s">
        <v>70</v>
      </c>
      <c r="C36" s="39" t="s">
        <v>77</v>
      </c>
      <c r="D36" s="39" t="s">
        <v>257</v>
      </c>
      <c r="E36" s="39" t="s">
        <v>81</v>
      </c>
      <c r="F36" s="39" t="s">
        <v>87</v>
      </c>
      <c r="G36" s="39" t="s">
        <v>94</v>
      </c>
      <c r="H36" s="39" t="s">
        <v>100</v>
      </c>
      <c r="I36" s="39" t="s">
        <v>106</v>
      </c>
      <c r="J36" s="39" t="s">
        <v>240</v>
      </c>
      <c r="K36" s="39" t="s">
        <v>240</v>
      </c>
      <c r="L36" s="39" t="s">
        <v>240</v>
      </c>
      <c r="M36" s="39" t="s">
        <v>233</v>
      </c>
      <c r="N36" s="39" t="s">
        <v>233</v>
      </c>
      <c r="O36" s="39" t="s">
        <v>231</v>
      </c>
      <c r="P36" s="39" t="s">
        <v>231</v>
      </c>
      <c r="Q36" s="39" t="s">
        <v>231</v>
      </c>
      <c r="R36" s="39" t="s">
        <v>231</v>
      </c>
      <c r="S36" s="39" t="s">
        <v>231</v>
      </c>
      <c r="T36" s="39" t="s">
        <v>245</v>
      </c>
      <c r="U36" s="39" t="s">
        <v>235</v>
      </c>
      <c r="V36" s="39" t="s">
        <v>101</v>
      </c>
      <c r="W36" s="39" t="s">
        <v>231</v>
      </c>
      <c r="X36" s="39" t="s">
        <v>231</v>
      </c>
      <c r="Y36" s="39" t="s">
        <v>231</v>
      </c>
      <c r="Z36" s="39" t="s">
        <v>231</v>
      </c>
      <c r="AA36" s="39" t="s">
        <v>231</v>
      </c>
      <c r="AB36" s="39" t="s">
        <v>231</v>
      </c>
      <c r="AC36" s="39" t="s">
        <v>231</v>
      </c>
      <c r="AD36" s="39" t="s">
        <v>231</v>
      </c>
      <c r="AE36" s="39" t="s">
        <v>231</v>
      </c>
    </row>
    <row r="37" spans="1:31" ht="22.5" customHeight="1" x14ac:dyDescent="0.2">
      <c r="A37" s="39" t="s">
        <v>66</v>
      </c>
      <c r="B37" s="39" t="s">
        <v>70</v>
      </c>
      <c r="C37" s="39" t="s">
        <v>76</v>
      </c>
      <c r="D37" s="39" t="s">
        <v>258</v>
      </c>
      <c r="E37" s="39" t="s">
        <v>83</v>
      </c>
      <c r="F37" s="39" t="s">
        <v>88</v>
      </c>
      <c r="G37" s="39" t="s">
        <v>97</v>
      </c>
      <c r="H37" s="39" t="s">
        <v>103</v>
      </c>
      <c r="I37" s="39" t="s">
        <v>107</v>
      </c>
      <c r="J37" s="39" t="s">
        <v>240</v>
      </c>
      <c r="K37" s="39" t="s">
        <v>240</v>
      </c>
      <c r="L37" s="39" t="s">
        <v>240</v>
      </c>
      <c r="M37" s="39" t="s">
        <v>240</v>
      </c>
      <c r="N37" s="39" t="s">
        <v>240</v>
      </c>
      <c r="O37" s="39" t="s">
        <v>240</v>
      </c>
      <c r="P37" s="39" t="s">
        <v>240</v>
      </c>
      <c r="Q37" s="39" t="s">
        <v>240</v>
      </c>
      <c r="R37" s="39" t="s">
        <v>240</v>
      </c>
      <c r="S37" s="39" t="s">
        <v>240</v>
      </c>
      <c r="T37" s="39" t="s">
        <v>235</v>
      </c>
      <c r="U37" s="39" t="s">
        <v>235</v>
      </c>
      <c r="V37" s="39" t="s">
        <v>235</v>
      </c>
      <c r="W37" s="39" t="s">
        <v>231</v>
      </c>
      <c r="X37" s="39" t="s">
        <v>232</v>
      </c>
      <c r="Y37" s="39" t="s">
        <v>232</v>
      </c>
      <c r="Z37" s="39" t="s">
        <v>232</v>
      </c>
      <c r="AA37" s="39" t="s">
        <v>232</v>
      </c>
      <c r="AB37" s="39" t="s">
        <v>232</v>
      </c>
      <c r="AC37" s="39" t="s">
        <v>232</v>
      </c>
      <c r="AD37" s="39" t="s">
        <v>232</v>
      </c>
      <c r="AE37" s="39" t="s">
        <v>232</v>
      </c>
    </row>
    <row r="38" spans="1:31" ht="22.5" customHeight="1" x14ac:dyDescent="0.2">
      <c r="A38" s="39" t="s">
        <v>66</v>
      </c>
      <c r="B38" s="39" t="s">
        <v>71</v>
      </c>
      <c r="C38" s="39" t="s">
        <v>76</v>
      </c>
      <c r="D38" s="39" t="s">
        <v>259</v>
      </c>
      <c r="E38" s="39" t="s">
        <v>81</v>
      </c>
      <c r="F38" s="39" t="s">
        <v>87</v>
      </c>
      <c r="G38" s="39" t="s">
        <v>95</v>
      </c>
      <c r="H38" s="39" t="s">
        <v>100</v>
      </c>
      <c r="I38" s="39" t="s">
        <v>106</v>
      </c>
      <c r="J38" s="39" t="s">
        <v>232</v>
      </c>
      <c r="K38" s="39" t="s">
        <v>233</v>
      </c>
      <c r="L38" s="39" t="s">
        <v>230</v>
      </c>
      <c r="M38" s="39" t="s">
        <v>232</v>
      </c>
      <c r="N38" s="39" t="s">
        <v>230</v>
      </c>
      <c r="O38" s="39" t="s">
        <v>232</v>
      </c>
      <c r="P38" s="39" t="s">
        <v>231</v>
      </c>
      <c r="Q38" s="39" t="s">
        <v>233</v>
      </c>
      <c r="R38" s="39" t="s">
        <v>232</v>
      </c>
      <c r="S38" s="39" t="s">
        <v>231</v>
      </c>
      <c r="T38" s="39" t="s">
        <v>235</v>
      </c>
      <c r="U38" s="39" t="s">
        <v>235</v>
      </c>
      <c r="V38" s="39" t="s">
        <v>235</v>
      </c>
      <c r="W38" s="39" t="s">
        <v>232</v>
      </c>
      <c r="X38" s="39" t="s">
        <v>230</v>
      </c>
      <c r="Y38" s="39" t="s">
        <v>230</v>
      </c>
      <c r="Z38" s="39" t="s">
        <v>230</v>
      </c>
      <c r="AA38" s="39" t="s">
        <v>230</v>
      </c>
      <c r="AB38" s="39" t="s">
        <v>232</v>
      </c>
      <c r="AC38" s="39" t="s">
        <v>232</v>
      </c>
      <c r="AD38" s="39" t="s">
        <v>232</v>
      </c>
      <c r="AE38" s="39" t="s">
        <v>240</v>
      </c>
    </row>
    <row r="39" spans="1:31" ht="22.5" customHeight="1" x14ac:dyDescent="0.2">
      <c r="A39" s="39" t="s">
        <v>68</v>
      </c>
      <c r="B39" s="39" t="s">
        <v>72</v>
      </c>
      <c r="C39" s="39" t="s">
        <v>76</v>
      </c>
      <c r="D39" s="39" t="s">
        <v>243</v>
      </c>
      <c r="E39" s="39" t="s">
        <v>81</v>
      </c>
      <c r="F39" s="39" t="s">
        <v>88</v>
      </c>
      <c r="G39" s="39" t="s">
        <v>98</v>
      </c>
      <c r="H39" s="39" t="s">
        <v>100</v>
      </c>
      <c r="I39" s="39" t="s">
        <v>108</v>
      </c>
      <c r="J39" s="39" t="s">
        <v>230</v>
      </c>
      <c r="K39" s="39" t="s">
        <v>230</v>
      </c>
      <c r="L39" s="39" t="s">
        <v>230</v>
      </c>
      <c r="M39" s="39" t="s">
        <v>233</v>
      </c>
      <c r="N39" s="39" t="s">
        <v>231</v>
      </c>
      <c r="O39" s="39" t="s">
        <v>232</v>
      </c>
      <c r="P39" s="39" t="s">
        <v>231</v>
      </c>
      <c r="Q39" s="39" t="s">
        <v>231</v>
      </c>
      <c r="R39" s="39" t="s">
        <v>232</v>
      </c>
      <c r="S39" s="39" t="s">
        <v>233</v>
      </c>
      <c r="T39" s="39" t="s">
        <v>101</v>
      </c>
      <c r="U39" s="39" t="s">
        <v>101</v>
      </c>
      <c r="V39" s="39" t="s">
        <v>101</v>
      </c>
      <c r="W39" s="39" t="s">
        <v>231</v>
      </c>
      <c r="X39" s="39" t="s">
        <v>231</v>
      </c>
      <c r="Y39" s="39" t="s">
        <v>232</v>
      </c>
      <c r="Z39" s="39" t="s">
        <v>231</v>
      </c>
      <c r="AA39" s="39" t="s">
        <v>231</v>
      </c>
      <c r="AB39" s="39" t="s">
        <v>231</v>
      </c>
      <c r="AC39" s="39" t="s">
        <v>232</v>
      </c>
      <c r="AD39" s="39" t="s">
        <v>240</v>
      </c>
      <c r="AE39" s="39" t="s">
        <v>231</v>
      </c>
    </row>
    <row r="40" spans="1:31" ht="22.5" customHeight="1" x14ac:dyDescent="0.2">
      <c r="A40" s="39" t="s">
        <v>67</v>
      </c>
      <c r="B40" s="39" t="s">
        <v>71</v>
      </c>
      <c r="C40" s="39" t="s">
        <v>76</v>
      </c>
      <c r="D40" s="39" t="s">
        <v>260</v>
      </c>
      <c r="E40" s="39" t="s">
        <v>81</v>
      </c>
      <c r="F40" s="39" t="s">
        <v>87</v>
      </c>
      <c r="G40" s="39" t="s">
        <v>95</v>
      </c>
      <c r="H40" s="39" t="s">
        <v>101</v>
      </c>
      <c r="I40" s="39" t="s">
        <v>106</v>
      </c>
      <c r="J40" s="39" t="s">
        <v>232</v>
      </c>
      <c r="K40" s="39" t="s">
        <v>233</v>
      </c>
      <c r="L40" s="39" t="s">
        <v>232</v>
      </c>
      <c r="M40" s="39" t="s">
        <v>232</v>
      </c>
      <c r="N40" s="39" t="s">
        <v>232</v>
      </c>
      <c r="O40" s="39" t="s">
        <v>231</v>
      </c>
      <c r="P40" s="39" t="s">
        <v>232</v>
      </c>
      <c r="Q40" s="39" t="s">
        <v>231</v>
      </c>
      <c r="R40" s="39" t="s">
        <v>231</v>
      </c>
      <c r="S40" s="39" t="s">
        <v>232</v>
      </c>
      <c r="T40" s="39" t="s">
        <v>245</v>
      </c>
      <c r="U40" s="39" t="s">
        <v>245</v>
      </c>
      <c r="V40" s="39" t="s">
        <v>235</v>
      </c>
      <c r="W40" s="39" t="s">
        <v>232</v>
      </c>
      <c r="X40" s="39" t="s">
        <v>232</v>
      </c>
      <c r="Y40" s="39" t="s">
        <v>232</v>
      </c>
      <c r="Z40" s="39" t="s">
        <v>232</v>
      </c>
      <c r="AA40" s="39" t="s">
        <v>232</v>
      </c>
      <c r="AB40" s="39" t="s">
        <v>232</v>
      </c>
      <c r="AC40" s="39" t="s">
        <v>231</v>
      </c>
      <c r="AD40" s="39" t="s">
        <v>232</v>
      </c>
      <c r="AE40" s="39" t="s">
        <v>232</v>
      </c>
    </row>
    <row r="41" spans="1:31" ht="22.5" customHeight="1" x14ac:dyDescent="0.2">
      <c r="A41" s="39" t="s">
        <v>66</v>
      </c>
      <c r="B41" s="39" t="s">
        <v>74</v>
      </c>
      <c r="C41" s="39" t="s">
        <v>77</v>
      </c>
      <c r="D41" s="39" t="s">
        <v>261</v>
      </c>
      <c r="E41" s="39" t="s">
        <v>84</v>
      </c>
      <c r="F41" s="39" t="s">
        <v>87</v>
      </c>
      <c r="G41" s="39" t="s">
        <v>98</v>
      </c>
      <c r="H41" s="39" t="s">
        <v>104</v>
      </c>
      <c r="I41" s="39" t="s">
        <v>108</v>
      </c>
      <c r="J41" s="39" t="s">
        <v>232</v>
      </c>
      <c r="K41" s="39" t="s">
        <v>233</v>
      </c>
      <c r="L41" s="39" t="s">
        <v>232</v>
      </c>
      <c r="M41" s="39" t="s">
        <v>230</v>
      </c>
      <c r="N41" s="39" t="s">
        <v>231</v>
      </c>
      <c r="O41" s="39" t="s">
        <v>232</v>
      </c>
      <c r="P41" s="39" t="s">
        <v>230</v>
      </c>
      <c r="Q41" s="39" t="s">
        <v>232</v>
      </c>
      <c r="R41" s="39" t="s">
        <v>233</v>
      </c>
      <c r="S41" s="39" t="s">
        <v>240</v>
      </c>
      <c r="T41" s="39" t="s">
        <v>235</v>
      </c>
      <c r="U41" s="39" t="s">
        <v>234</v>
      </c>
      <c r="V41" s="39" t="s">
        <v>245</v>
      </c>
      <c r="W41" s="39" t="s">
        <v>233</v>
      </c>
      <c r="X41" s="39" t="s">
        <v>230</v>
      </c>
      <c r="Y41" s="39" t="s">
        <v>232</v>
      </c>
      <c r="Z41" s="39" t="s">
        <v>230</v>
      </c>
      <c r="AA41" s="39" t="s">
        <v>233</v>
      </c>
      <c r="AB41" s="39" t="s">
        <v>232</v>
      </c>
      <c r="AC41" s="39" t="s">
        <v>231</v>
      </c>
      <c r="AD41" s="39" t="s">
        <v>230</v>
      </c>
      <c r="AE41" s="39" t="s">
        <v>231</v>
      </c>
    </row>
    <row r="42" spans="1:31" ht="22.5" customHeight="1" x14ac:dyDescent="0.2">
      <c r="A42" s="39" t="s">
        <v>68</v>
      </c>
      <c r="B42" s="39" t="s">
        <v>74</v>
      </c>
      <c r="C42" s="39" t="s">
        <v>76</v>
      </c>
      <c r="D42" s="39" t="s">
        <v>254</v>
      </c>
      <c r="E42" s="39" t="s">
        <v>81</v>
      </c>
      <c r="F42" s="39" t="s">
        <v>88</v>
      </c>
      <c r="G42" s="39" t="s">
        <v>97</v>
      </c>
      <c r="H42" s="39" t="s">
        <v>100</v>
      </c>
      <c r="I42" s="39" t="s">
        <v>106</v>
      </c>
      <c r="J42" s="39" t="s">
        <v>230</v>
      </c>
      <c r="K42" s="39" t="s">
        <v>231</v>
      </c>
      <c r="L42" s="39" t="s">
        <v>230</v>
      </c>
      <c r="M42" s="39" t="s">
        <v>230</v>
      </c>
      <c r="N42" s="39" t="s">
        <v>231</v>
      </c>
      <c r="O42" s="39" t="s">
        <v>230</v>
      </c>
      <c r="P42" s="39" t="s">
        <v>240</v>
      </c>
      <c r="Q42" s="39" t="s">
        <v>231</v>
      </c>
      <c r="R42" s="39" t="s">
        <v>230</v>
      </c>
      <c r="S42" s="39" t="s">
        <v>231</v>
      </c>
      <c r="T42" s="39" t="s">
        <v>235</v>
      </c>
      <c r="U42" s="39" t="s">
        <v>235</v>
      </c>
      <c r="V42" s="39" t="s">
        <v>235</v>
      </c>
      <c r="W42" s="39" t="s">
        <v>232</v>
      </c>
      <c r="X42" s="39" t="s">
        <v>230</v>
      </c>
      <c r="Y42" s="39" t="s">
        <v>231</v>
      </c>
      <c r="Z42" s="39" t="s">
        <v>232</v>
      </c>
      <c r="AA42" s="39" t="s">
        <v>230</v>
      </c>
      <c r="AB42" s="39" t="s">
        <v>230</v>
      </c>
      <c r="AC42" s="39" t="s">
        <v>232</v>
      </c>
      <c r="AD42" s="39" t="s">
        <v>231</v>
      </c>
      <c r="AE42" s="39" t="s">
        <v>231</v>
      </c>
    </row>
    <row r="43" spans="1:31" ht="22.5" customHeight="1" x14ac:dyDescent="0.2">
      <c r="A43" s="39" t="s">
        <v>67</v>
      </c>
      <c r="B43" s="39" t="s">
        <v>71</v>
      </c>
      <c r="C43" s="39" t="s">
        <v>76</v>
      </c>
      <c r="D43" s="39" t="s">
        <v>262</v>
      </c>
      <c r="E43" s="39" t="s">
        <v>81</v>
      </c>
      <c r="F43" s="39" t="s">
        <v>87</v>
      </c>
      <c r="G43" s="39" t="s">
        <v>95</v>
      </c>
      <c r="H43" s="39" t="s">
        <v>100</v>
      </c>
      <c r="I43" s="39" t="s">
        <v>106</v>
      </c>
      <c r="J43" s="39" t="s">
        <v>232</v>
      </c>
      <c r="K43" s="39" t="s">
        <v>233</v>
      </c>
      <c r="L43" s="39" t="s">
        <v>232</v>
      </c>
      <c r="M43" s="39" t="s">
        <v>230</v>
      </c>
      <c r="N43" s="39" t="s">
        <v>230</v>
      </c>
      <c r="O43" s="39" t="s">
        <v>232</v>
      </c>
      <c r="P43" s="39" t="s">
        <v>230</v>
      </c>
      <c r="Q43" s="39" t="s">
        <v>230</v>
      </c>
      <c r="R43" s="39" t="s">
        <v>232</v>
      </c>
      <c r="S43" s="39" t="s">
        <v>240</v>
      </c>
      <c r="T43" s="39" t="s">
        <v>101</v>
      </c>
      <c r="U43" s="39" t="s">
        <v>234</v>
      </c>
      <c r="V43" s="39" t="s">
        <v>234</v>
      </c>
      <c r="W43" s="39" t="s">
        <v>240</v>
      </c>
      <c r="X43" s="39" t="s">
        <v>232</v>
      </c>
      <c r="Y43" s="39" t="s">
        <v>233</v>
      </c>
      <c r="Z43" s="39" t="s">
        <v>233</v>
      </c>
      <c r="AA43" s="39" t="s">
        <v>230</v>
      </c>
      <c r="AB43" s="39" t="s">
        <v>231</v>
      </c>
      <c r="AC43" s="39" t="s">
        <v>232</v>
      </c>
      <c r="AD43" s="39" t="s">
        <v>230</v>
      </c>
      <c r="AE43" s="39" t="s">
        <v>233</v>
      </c>
    </row>
    <row r="44" spans="1:31" ht="22.5" customHeight="1" x14ac:dyDescent="0.2">
      <c r="A44" s="39" t="s">
        <v>66</v>
      </c>
      <c r="B44" s="39" t="s">
        <v>70</v>
      </c>
      <c r="C44" s="39" t="s">
        <v>76</v>
      </c>
      <c r="D44" s="39" t="s">
        <v>263</v>
      </c>
      <c r="E44" s="39" t="s">
        <v>83</v>
      </c>
      <c r="F44" s="39" t="s">
        <v>89</v>
      </c>
      <c r="G44" s="39" t="s">
        <v>98</v>
      </c>
      <c r="H44" s="39" t="s">
        <v>100</v>
      </c>
      <c r="I44" s="39" t="s">
        <v>110</v>
      </c>
      <c r="J44" s="39" t="s">
        <v>232</v>
      </c>
      <c r="K44" s="39" t="s">
        <v>231</v>
      </c>
      <c r="L44" s="39" t="s">
        <v>232</v>
      </c>
      <c r="M44" s="39" t="s">
        <v>232</v>
      </c>
      <c r="N44" s="39" t="s">
        <v>232</v>
      </c>
      <c r="O44" s="39" t="s">
        <v>232</v>
      </c>
      <c r="P44" s="39" t="s">
        <v>231</v>
      </c>
      <c r="Q44" s="39" t="s">
        <v>233</v>
      </c>
      <c r="R44" s="39" t="s">
        <v>232</v>
      </c>
      <c r="S44" s="39" t="s">
        <v>232</v>
      </c>
      <c r="T44" s="39" t="s">
        <v>234</v>
      </c>
      <c r="U44" s="39" t="s">
        <v>234</v>
      </c>
      <c r="V44" s="39" t="s">
        <v>234</v>
      </c>
      <c r="W44" s="39" t="s">
        <v>233</v>
      </c>
      <c r="X44" s="39" t="s">
        <v>231</v>
      </c>
      <c r="Y44" s="39" t="s">
        <v>232</v>
      </c>
      <c r="Z44" s="39" t="s">
        <v>233</v>
      </c>
      <c r="AA44" s="39" t="s">
        <v>232</v>
      </c>
      <c r="AB44" s="39" t="s">
        <v>231</v>
      </c>
      <c r="AC44" s="39" t="s">
        <v>231</v>
      </c>
      <c r="AD44" s="39" t="s">
        <v>231</v>
      </c>
      <c r="AE44" s="39" t="s">
        <v>231</v>
      </c>
    </row>
    <row r="45" spans="1:31" ht="22.5" customHeight="1" x14ac:dyDescent="0.2">
      <c r="A45" s="39" t="s">
        <v>68</v>
      </c>
      <c r="B45" s="39" t="s">
        <v>71</v>
      </c>
      <c r="C45" s="39" t="s">
        <v>76</v>
      </c>
      <c r="D45" s="39" t="s">
        <v>264</v>
      </c>
      <c r="E45" s="39" t="s">
        <v>83</v>
      </c>
      <c r="F45" s="39" t="s">
        <v>88</v>
      </c>
      <c r="G45" s="39" t="s">
        <v>95</v>
      </c>
      <c r="H45" s="39" t="s">
        <v>100</v>
      </c>
      <c r="I45" s="39" t="s">
        <v>107</v>
      </c>
      <c r="J45" s="39" t="s">
        <v>232</v>
      </c>
      <c r="K45" s="39" t="s">
        <v>233</v>
      </c>
      <c r="L45" s="39" t="s">
        <v>232</v>
      </c>
      <c r="M45" s="39" t="s">
        <v>231</v>
      </c>
      <c r="N45" s="39" t="s">
        <v>232</v>
      </c>
      <c r="O45" s="39" t="s">
        <v>232</v>
      </c>
      <c r="P45" s="39" t="s">
        <v>233</v>
      </c>
      <c r="Q45" s="39" t="s">
        <v>231</v>
      </c>
      <c r="R45" s="39" t="s">
        <v>232</v>
      </c>
      <c r="S45" s="39" t="s">
        <v>232</v>
      </c>
      <c r="T45" s="39" t="s">
        <v>235</v>
      </c>
      <c r="U45" s="39" t="s">
        <v>235</v>
      </c>
      <c r="V45" s="39" t="s">
        <v>234</v>
      </c>
      <c r="W45" s="39" t="s">
        <v>232</v>
      </c>
      <c r="X45" s="39" t="s">
        <v>232</v>
      </c>
      <c r="Y45" s="39" t="s">
        <v>232</v>
      </c>
      <c r="Z45" s="39" t="s">
        <v>231</v>
      </c>
      <c r="AA45" s="39" t="s">
        <v>232</v>
      </c>
      <c r="AB45" s="39" t="s">
        <v>232</v>
      </c>
      <c r="AC45" s="39" t="s">
        <v>232</v>
      </c>
      <c r="AD45" s="39" t="s">
        <v>232</v>
      </c>
      <c r="AE45" s="39" t="s">
        <v>233</v>
      </c>
    </row>
    <row r="46" spans="1:31" ht="22.5" customHeight="1" x14ac:dyDescent="0.2">
      <c r="A46" s="39" t="s">
        <v>67</v>
      </c>
      <c r="B46" s="39" t="s">
        <v>71</v>
      </c>
      <c r="C46" s="39" t="s">
        <v>76</v>
      </c>
      <c r="D46" s="39" t="s">
        <v>259</v>
      </c>
      <c r="E46" s="39" t="s">
        <v>81</v>
      </c>
      <c r="F46" s="39" t="s">
        <v>87</v>
      </c>
      <c r="G46" s="39" t="s">
        <v>94</v>
      </c>
      <c r="H46" s="39" t="s">
        <v>100</v>
      </c>
      <c r="I46" s="39" t="s">
        <v>107</v>
      </c>
      <c r="J46" s="39" t="s">
        <v>230</v>
      </c>
      <c r="K46" s="39" t="s">
        <v>232</v>
      </c>
      <c r="L46" s="39" t="s">
        <v>232</v>
      </c>
      <c r="M46" s="39" t="s">
        <v>231</v>
      </c>
      <c r="N46" s="39" t="s">
        <v>231</v>
      </c>
      <c r="O46" s="39" t="s">
        <v>232</v>
      </c>
      <c r="P46" s="39" t="s">
        <v>231</v>
      </c>
      <c r="Q46" s="39" t="s">
        <v>232</v>
      </c>
      <c r="R46" s="39" t="s">
        <v>231</v>
      </c>
      <c r="S46" s="39" t="s">
        <v>231</v>
      </c>
      <c r="T46" s="39" t="s">
        <v>235</v>
      </c>
      <c r="U46" s="39" t="s">
        <v>235</v>
      </c>
      <c r="V46" s="39" t="s">
        <v>245</v>
      </c>
      <c r="W46" s="39" t="s">
        <v>231</v>
      </c>
      <c r="X46" s="39" t="s">
        <v>231</v>
      </c>
      <c r="Y46" s="39" t="s">
        <v>233</v>
      </c>
      <c r="Z46" s="39" t="s">
        <v>233</v>
      </c>
      <c r="AA46" s="39" t="s">
        <v>232</v>
      </c>
      <c r="AB46" s="39" t="s">
        <v>233</v>
      </c>
      <c r="AC46" s="39" t="s">
        <v>233</v>
      </c>
      <c r="AD46" s="39" t="s">
        <v>233</v>
      </c>
      <c r="AE46" s="39" t="s">
        <v>230</v>
      </c>
    </row>
    <row r="47" spans="1:31" ht="22.5" customHeight="1" x14ac:dyDescent="0.2">
      <c r="A47" s="39" t="s">
        <v>68</v>
      </c>
      <c r="B47" s="39" t="s">
        <v>74</v>
      </c>
      <c r="C47" s="39" t="s">
        <v>76</v>
      </c>
      <c r="D47" s="39" t="s">
        <v>265</v>
      </c>
      <c r="E47" s="39" t="s">
        <v>81</v>
      </c>
      <c r="F47" s="39" t="s">
        <v>88</v>
      </c>
      <c r="G47" s="39" t="s">
        <v>97</v>
      </c>
      <c r="H47" s="39" t="s">
        <v>100</v>
      </c>
      <c r="I47" s="39" t="s">
        <v>106</v>
      </c>
      <c r="J47" s="39" t="s">
        <v>232</v>
      </c>
      <c r="K47" s="39" t="s">
        <v>231</v>
      </c>
      <c r="L47" s="39" t="s">
        <v>230</v>
      </c>
      <c r="M47" s="39" t="s">
        <v>230</v>
      </c>
      <c r="N47" s="39" t="s">
        <v>230</v>
      </c>
      <c r="O47" s="39" t="s">
        <v>232</v>
      </c>
      <c r="P47" s="39" t="s">
        <v>231</v>
      </c>
      <c r="Q47" s="39" t="s">
        <v>232</v>
      </c>
      <c r="R47" s="39" t="s">
        <v>232</v>
      </c>
      <c r="S47" s="39" t="s">
        <v>232</v>
      </c>
      <c r="T47" s="39" t="s">
        <v>234</v>
      </c>
      <c r="U47" s="39" t="s">
        <v>234</v>
      </c>
      <c r="V47" s="39" t="s">
        <v>101</v>
      </c>
      <c r="W47" s="39" t="s">
        <v>232</v>
      </c>
      <c r="X47" s="39" t="s">
        <v>232</v>
      </c>
      <c r="Y47" s="39" t="s">
        <v>232</v>
      </c>
      <c r="Z47" s="39" t="s">
        <v>232</v>
      </c>
      <c r="AA47" s="39" t="s">
        <v>232</v>
      </c>
      <c r="AB47" s="39" t="s">
        <v>232</v>
      </c>
      <c r="AC47" s="39" t="s">
        <v>232</v>
      </c>
      <c r="AD47" s="39" t="s">
        <v>232</v>
      </c>
      <c r="AE47" s="39" t="s">
        <v>231</v>
      </c>
    </row>
    <row r="48" spans="1:31" ht="22.5" customHeight="1" x14ac:dyDescent="0.2">
      <c r="A48" s="39" t="s">
        <v>66</v>
      </c>
      <c r="B48" s="39" t="s">
        <v>74</v>
      </c>
      <c r="C48" s="39" t="s">
        <v>76</v>
      </c>
      <c r="D48" s="39" t="s">
        <v>266</v>
      </c>
      <c r="E48" s="39" t="s">
        <v>81</v>
      </c>
      <c r="F48" s="39" t="s">
        <v>88</v>
      </c>
      <c r="G48" s="39" t="s">
        <v>94</v>
      </c>
      <c r="H48" s="39" t="s">
        <v>100</v>
      </c>
      <c r="I48" s="39" t="s">
        <v>106</v>
      </c>
      <c r="J48" s="39" t="s">
        <v>232</v>
      </c>
      <c r="K48" s="39" t="s">
        <v>232</v>
      </c>
      <c r="L48" s="39" t="s">
        <v>240</v>
      </c>
      <c r="M48" s="39" t="s">
        <v>231</v>
      </c>
      <c r="N48" s="39" t="s">
        <v>240</v>
      </c>
      <c r="O48" s="39" t="s">
        <v>233</v>
      </c>
      <c r="P48" s="39" t="s">
        <v>232</v>
      </c>
      <c r="Q48" s="39" t="s">
        <v>232</v>
      </c>
      <c r="R48" s="39" t="s">
        <v>240</v>
      </c>
      <c r="S48" s="39" t="s">
        <v>233</v>
      </c>
      <c r="T48" s="39" t="s">
        <v>101</v>
      </c>
      <c r="U48" s="39" t="s">
        <v>101</v>
      </c>
      <c r="V48" s="39" t="s">
        <v>101</v>
      </c>
      <c r="W48" s="39" t="s">
        <v>231</v>
      </c>
      <c r="X48" s="39" t="s">
        <v>240</v>
      </c>
      <c r="Y48" s="39" t="s">
        <v>240</v>
      </c>
      <c r="Z48" s="39" t="s">
        <v>240</v>
      </c>
      <c r="AA48" s="39" t="s">
        <v>240</v>
      </c>
      <c r="AB48" s="39" t="s">
        <v>240</v>
      </c>
      <c r="AC48" s="39" t="s">
        <v>232</v>
      </c>
      <c r="AD48" s="39" t="s">
        <v>240</v>
      </c>
      <c r="AE48" s="39" t="s">
        <v>232</v>
      </c>
    </row>
    <row r="49" spans="1:31" ht="22.5" customHeight="1" x14ac:dyDescent="0.2">
      <c r="A49" s="39" t="s">
        <v>67</v>
      </c>
      <c r="B49" s="39" t="s">
        <v>70</v>
      </c>
      <c r="C49" s="39" t="s">
        <v>77</v>
      </c>
      <c r="D49" s="39" t="s">
        <v>267</v>
      </c>
      <c r="E49" s="39" t="s">
        <v>81</v>
      </c>
      <c r="F49" s="39" t="s">
        <v>87</v>
      </c>
      <c r="G49" s="39" t="s">
        <v>97</v>
      </c>
      <c r="H49" s="39" t="s">
        <v>100</v>
      </c>
      <c r="I49" s="39" t="s">
        <v>106</v>
      </c>
      <c r="J49" s="39" t="s">
        <v>232</v>
      </c>
      <c r="K49" s="39" t="s">
        <v>232</v>
      </c>
      <c r="L49" s="39" t="s">
        <v>232</v>
      </c>
      <c r="M49" s="39" t="s">
        <v>232</v>
      </c>
      <c r="N49" s="39" t="s">
        <v>232</v>
      </c>
      <c r="O49" s="39" t="s">
        <v>232</v>
      </c>
      <c r="P49" s="39" t="s">
        <v>240</v>
      </c>
      <c r="Q49" s="39" t="s">
        <v>240</v>
      </c>
      <c r="R49" s="39" t="s">
        <v>232</v>
      </c>
      <c r="S49" s="39" t="s">
        <v>233</v>
      </c>
      <c r="T49" s="39" t="s">
        <v>234</v>
      </c>
      <c r="U49" s="39" t="s">
        <v>234</v>
      </c>
      <c r="V49" s="39" t="s">
        <v>234</v>
      </c>
      <c r="W49" s="39" t="s">
        <v>231</v>
      </c>
      <c r="X49" s="39" t="s">
        <v>232</v>
      </c>
      <c r="Y49" s="39" t="s">
        <v>232</v>
      </c>
      <c r="Z49" s="39" t="s">
        <v>232</v>
      </c>
      <c r="AA49" s="39" t="s">
        <v>232</v>
      </c>
      <c r="AB49" s="39" t="s">
        <v>232</v>
      </c>
      <c r="AC49" s="39" t="s">
        <v>232</v>
      </c>
      <c r="AD49" s="39" t="s">
        <v>232</v>
      </c>
      <c r="AE49" s="39" t="s">
        <v>240</v>
      </c>
    </row>
    <row r="50" spans="1:31" ht="22.5" customHeight="1" x14ac:dyDescent="0.2">
      <c r="A50" s="39" t="s">
        <v>66</v>
      </c>
      <c r="B50" s="39" t="s">
        <v>71</v>
      </c>
      <c r="C50" s="39" t="s">
        <v>78</v>
      </c>
      <c r="D50" s="39" t="s">
        <v>229</v>
      </c>
      <c r="E50" s="39" t="s">
        <v>81</v>
      </c>
      <c r="F50" s="39" t="s">
        <v>89</v>
      </c>
      <c r="G50" s="39" t="s">
        <v>96</v>
      </c>
      <c r="H50" s="39" t="s">
        <v>100</v>
      </c>
      <c r="I50" s="39" t="s">
        <v>108</v>
      </c>
      <c r="J50" s="39" t="s">
        <v>232</v>
      </c>
      <c r="K50" s="39" t="s">
        <v>240</v>
      </c>
      <c r="L50" s="39" t="s">
        <v>232</v>
      </c>
      <c r="M50" s="39" t="s">
        <v>232</v>
      </c>
      <c r="N50" s="39" t="s">
        <v>232</v>
      </c>
      <c r="O50" s="39" t="s">
        <v>232</v>
      </c>
      <c r="P50" s="39" t="s">
        <v>240</v>
      </c>
      <c r="Q50" s="39" t="s">
        <v>231</v>
      </c>
      <c r="R50" s="39" t="s">
        <v>231</v>
      </c>
      <c r="S50" s="39" t="s">
        <v>233</v>
      </c>
      <c r="T50" s="39" t="s">
        <v>247</v>
      </c>
      <c r="U50" s="39" t="s">
        <v>247</v>
      </c>
      <c r="V50" s="39" t="s">
        <v>247</v>
      </c>
      <c r="W50" s="39" t="s">
        <v>230</v>
      </c>
      <c r="X50" s="39" t="s">
        <v>240</v>
      </c>
      <c r="Y50" s="39" t="s">
        <v>240</v>
      </c>
      <c r="Z50" s="39" t="s">
        <v>240</v>
      </c>
      <c r="AA50" s="39" t="s">
        <v>240</v>
      </c>
      <c r="AB50" s="39" t="s">
        <v>240</v>
      </c>
      <c r="AC50" s="39" t="s">
        <v>240</v>
      </c>
      <c r="AD50" s="39" t="s">
        <v>240</v>
      </c>
      <c r="AE50" s="39" t="s">
        <v>232</v>
      </c>
    </row>
    <row r="51" spans="1:31" ht="22.5" customHeight="1" x14ac:dyDescent="0.2">
      <c r="A51" s="39" t="s">
        <v>66</v>
      </c>
      <c r="B51" s="39" t="s">
        <v>70</v>
      </c>
      <c r="C51" s="39" t="s">
        <v>76</v>
      </c>
      <c r="D51" s="39" t="s">
        <v>268</v>
      </c>
      <c r="E51" s="39" t="s">
        <v>81</v>
      </c>
      <c r="F51" s="39" t="s">
        <v>89</v>
      </c>
      <c r="G51" s="39" t="s">
        <v>96</v>
      </c>
      <c r="H51" s="39" t="s">
        <v>100</v>
      </c>
      <c r="I51" s="39" t="s">
        <v>108</v>
      </c>
      <c r="J51" s="39" t="s">
        <v>232</v>
      </c>
      <c r="K51" s="39" t="s">
        <v>240</v>
      </c>
      <c r="L51" s="39" t="s">
        <v>232</v>
      </c>
      <c r="M51" s="39" t="s">
        <v>232</v>
      </c>
      <c r="N51" s="39" t="s">
        <v>232</v>
      </c>
      <c r="O51" s="39" t="s">
        <v>232</v>
      </c>
      <c r="P51" s="39" t="s">
        <v>240</v>
      </c>
      <c r="Q51" s="39" t="s">
        <v>240</v>
      </c>
      <c r="R51" s="39" t="s">
        <v>232</v>
      </c>
      <c r="S51" s="39" t="s">
        <v>232</v>
      </c>
      <c r="T51" s="39" t="s">
        <v>235</v>
      </c>
      <c r="U51" s="39" t="s">
        <v>235</v>
      </c>
      <c r="V51" s="39" t="s">
        <v>235</v>
      </c>
      <c r="W51" s="39" t="s">
        <v>232</v>
      </c>
      <c r="X51" s="39" t="s">
        <v>231</v>
      </c>
      <c r="Y51" s="39" t="s">
        <v>232</v>
      </c>
      <c r="Z51" s="39" t="s">
        <v>231</v>
      </c>
      <c r="AA51" s="39" t="s">
        <v>232</v>
      </c>
      <c r="AB51" s="39" t="s">
        <v>231</v>
      </c>
      <c r="AC51" s="39" t="s">
        <v>230</v>
      </c>
      <c r="AD51" s="39" t="s">
        <v>231</v>
      </c>
      <c r="AE51" s="39" t="s">
        <v>231</v>
      </c>
    </row>
    <row r="52" spans="1:31" ht="22.5" customHeight="1" x14ac:dyDescent="0.2">
      <c r="A52" s="39" t="s">
        <v>67</v>
      </c>
      <c r="B52" s="39" t="s">
        <v>71</v>
      </c>
      <c r="C52" s="39" t="s">
        <v>77</v>
      </c>
      <c r="D52" s="39" t="s">
        <v>269</v>
      </c>
      <c r="E52" s="39" t="s">
        <v>85</v>
      </c>
      <c r="F52" s="39" t="s">
        <v>89</v>
      </c>
      <c r="G52" s="39" t="s">
        <v>95</v>
      </c>
      <c r="H52" s="39" t="s">
        <v>103</v>
      </c>
      <c r="I52" s="39" t="s">
        <v>110</v>
      </c>
      <c r="J52" s="39" t="s">
        <v>231</v>
      </c>
      <c r="K52" s="39" t="s">
        <v>233</v>
      </c>
      <c r="L52" s="39" t="s">
        <v>231</v>
      </c>
      <c r="M52" s="39" t="s">
        <v>230</v>
      </c>
      <c r="N52" s="39" t="s">
        <v>230</v>
      </c>
      <c r="O52" s="39" t="s">
        <v>230</v>
      </c>
      <c r="P52" s="39" t="s">
        <v>233</v>
      </c>
      <c r="Q52" s="39" t="s">
        <v>233</v>
      </c>
      <c r="R52" s="39" t="s">
        <v>230</v>
      </c>
      <c r="S52" s="39" t="s">
        <v>230</v>
      </c>
      <c r="T52" s="39" t="s">
        <v>235</v>
      </c>
      <c r="U52" s="39" t="s">
        <v>235</v>
      </c>
      <c r="V52" s="39" t="s">
        <v>234</v>
      </c>
      <c r="W52" s="39" t="s">
        <v>232</v>
      </c>
      <c r="X52" s="39" t="s">
        <v>230</v>
      </c>
      <c r="Y52" s="39" t="s">
        <v>230</v>
      </c>
      <c r="Z52" s="39" t="s">
        <v>230</v>
      </c>
      <c r="AA52" s="39" t="s">
        <v>230</v>
      </c>
      <c r="AB52" s="39" t="s">
        <v>230</v>
      </c>
      <c r="AC52" s="39" t="s">
        <v>230</v>
      </c>
      <c r="AD52" s="39" t="s">
        <v>230</v>
      </c>
      <c r="AE52" s="39" t="s">
        <v>232</v>
      </c>
    </row>
    <row r="53" spans="1:31" ht="22.5" customHeight="1" x14ac:dyDescent="0.2">
      <c r="A53" s="39" t="s">
        <v>66</v>
      </c>
      <c r="B53" s="39" t="s">
        <v>70</v>
      </c>
      <c r="C53" s="39" t="s">
        <v>76</v>
      </c>
      <c r="D53" s="39" t="s">
        <v>268</v>
      </c>
      <c r="E53" s="39" t="s">
        <v>81</v>
      </c>
      <c r="F53" s="39" t="s">
        <v>87</v>
      </c>
      <c r="G53" s="39" t="s">
        <v>94</v>
      </c>
      <c r="H53" s="39" t="s">
        <v>100</v>
      </c>
      <c r="I53" s="39" t="s">
        <v>106</v>
      </c>
      <c r="J53" s="39" t="s">
        <v>230</v>
      </c>
      <c r="K53" s="39" t="s">
        <v>240</v>
      </c>
      <c r="L53" s="39" t="s">
        <v>231</v>
      </c>
      <c r="M53" s="39" t="s">
        <v>231</v>
      </c>
      <c r="N53" s="39" t="s">
        <v>231</v>
      </c>
      <c r="O53" s="39" t="s">
        <v>232</v>
      </c>
      <c r="P53" s="39" t="s">
        <v>232</v>
      </c>
      <c r="Q53" s="39" t="s">
        <v>232</v>
      </c>
      <c r="R53" s="39" t="s">
        <v>232</v>
      </c>
      <c r="S53" s="39" t="s">
        <v>232</v>
      </c>
      <c r="T53" s="39" t="s">
        <v>101</v>
      </c>
      <c r="U53" s="39" t="s">
        <v>234</v>
      </c>
      <c r="V53" s="39" t="s">
        <v>235</v>
      </c>
      <c r="W53" s="39" t="s">
        <v>232</v>
      </c>
      <c r="X53" s="39" t="s">
        <v>240</v>
      </c>
      <c r="Y53" s="39" t="s">
        <v>233</v>
      </c>
      <c r="Z53" s="39" t="s">
        <v>232</v>
      </c>
      <c r="AA53" s="39" t="s">
        <v>230</v>
      </c>
      <c r="AB53" s="39" t="s">
        <v>232</v>
      </c>
      <c r="AC53" s="39" t="s">
        <v>231</v>
      </c>
      <c r="AD53" s="39" t="s">
        <v>233</v>
      </c>
      <c r="AE53" s="39" t="s">
        <v>240</v>
      </c>
    </row>
    <row r="54" spans="1:31" ht="22.5" customHeight="1" x14ac:dyDescent="0.2">
      <c r="A54" s="39" t="s">
        <v>68</v>
      </c>
      <c r="B54" s="39" t="s">
        <v>72</v>
      </c>
      <c r="C54" s="39" t="s">
        <v>78</v>
      </c>
      <c r="D54" s="39" t="s">
        <v>270</v>
      </c>
      <c r="E54" s="39" t="s">
        <v>81</v>
      </c>
      <c r="F54" s="39" t="s">
        <v>91</v>
      </c>
      <c r="G54" s="39" t="s">
        <v>96</v>
      </c>
      <c r="H54" s="39" t="s">
        <v>100</v>
      </c>
      <c r="I54" s="39" t="s">
        <v>107</v>
      </c>
      <c r="J54" s="39" t="s">
        <v>230</v>
      </c>
      <c r="K54" s="39" t="s">
        <v>232</v>
      </c>
      <c r="L54" s="39" t="s">
        <v>231</v>
      </c>
      <c r="M54" s="39" t="s">
        <v>233</v>
      </c>
      <c r="N54" s="39" t="s">
        <v>240</v>
      </c>
      <c r="O54" s="39" t="s">
        <v>240</v>
      </c>
      <c r="P54" s="39" t="s">
        <v>233</v>
      </c>
      <c r="Q54" s="39" t="s">
        <v>231</v>
      </c>
      <c r="R54" s="39" t="s">
        <v>233</v>
      </c>
      <c r="S54" s="39" t="s">
        <v>240</v>
      </c>
      <c r="T54" s="39" t="s">
        <v>235</v>
      </c>
      <c r="U54" s="39" t="s">
        <v>235</v>
      </c>
      <c r="V54" s="39" t="s">
        <v>235</v>
      </c>
      <c r="W54" s="39" t="s">
        <v>231</v>
      </c>
      <c r="X54" s="39" t="s">
        <v>232</v>
      </c>
      <c r="Y54" s="39" t="s">
        <v>231</v>
      </c>
      <c r="Z54" s="39" t="s">
        <v>232</v>
      </c>
      <c r="AA54" s="39" t="s">
        <v>231</v>
      </c>
      <c r="AB54" s="39" t="s">
        <v>232</v>
      </c>
      <c r="AC54" s="39" t="s">
        <v>231</v>
      </c>
      <c r="AD54" s="39" t="s">
        <v>232</v>
      </c>
      <c r="AE54" s="39" t="s">
        <v>231</v>
      </c>
    </row>
    <row r="55" spans="1:31" ht="22.5" customHeight="1" x14ac:dyDescent="0.2">
      <c r="A55" s="39" t="s">
        <v>66</v>
      </c>
      <c r="B55" s="39" t="s">
        <v>70</v>
      </c>
      <c r="C55" s="39" t="s">
        <v>76</v>
      </c>
      <c r="D55" s="39" t="s">
        <v>239</v>
      </c>
      <c r="E55" s="39" t="s">
        <v>84</v>
      </c>
      <c r="F55" s="39" t="s">
        <v>88</v>
      </c>
      <c r="G55" s="39" t="s">
        <v>97</v>
      </c>
      <c r="H55" s="39" t="s">
        <v>101</v>
      </c>
      <c r="I55" s="39" t="s">
        <v>110</v>
      </c>
      <c r="J55" s="39" t="s">
        <v>232</v>
      </c>
      <c r="K55" s="39" t="s">
        <v>232</v>
      </c>
      <c r="L55" s="39" t="s">
        <v>230</v>
      </c>
      <c r="M55" s="39" t="s">
        <v>230</v>
      </c>
      <c r="N55" s="39" t="s">
        <v>230</v>
      </c>
      <c r="O55" s="39" t="s">
        <v>232</v>
      </c>
      <c r="P55" s="39" t="s">
        <v>233</v>
      </c>
      <c r="Q55" s="39" t="s">
        <v>233</v>
      </c>
      <c r="R55" s="39" t="s">
        <v>230</v>
      </c>
      <c r="S55" s="39" t="s">
        <v>230</v>
      </c>
      <c r="T55" s="39" t="s">
        <v>234</v>
      </c>
      <c r="U55" s="39" t="s">
        <v>235</v>
      </c>
      <c r="V55" s="39" t="s">
        <v>235</v>
      </c>
      <c r="W55" s="39" t="s">
        <v>232</v>
      </c>
      <c r="X55" s="39" t="s">
        <v>230</v>
      </c>
      <c r="Y55" s="39" t="s">
        <v>230</v>
      </c>
      <c r="Z55" s="39" t="s">
        <v>230</v>
      </c>
      <c r="AA55" s="39" t="s">
        <v>230</v>
      </c>
      <c r="AB55" s="39" t="s">
        <v>230</v>
      </c>
      <c r="AC55" s="39" t="s">
        <v>230</v>
      </c>
      <c r="AD55" s="39" t="s">
        <v>230</v>
      </c>
      <c r="AE55" s="39" t="s">
        <v>231</v>
      </c>
    </row>
    <row r="56" spans="1:31" ht="22.5" customHeight="1" x14ac:dyDescent="0.2">
      <c r="A56" s="39" t="s">
        <v>67</v>
      </c>
      <c r="B56" s="39" t="s">
        <v>73</v>
      </c>
      <c r="C56" s="39" t="s">
        <v>78</v>
      </c>
      <c r="D56" s="39" t="s">
        <v>271</v>
      </c>
      <c r="E56" s="39" t="s">
        <v>81</v>
      </c>
      <c r="F56" s="39" t="s">
        <v>91</v>
      </c>
      <c r="G56" s="39" t="s">
        <v>96</v>
      </c>
      <c r="H56" s="39" t="s">
        <v>101</v>
      </c>
      <c r="I56" s="39" t="s">
        <v>109</v>
      </c>
      <c r="J56" s="39" t="s">
        <v>230</v>
      </c>
      <c r="K56" s="39" t="s">
        <v>231</v>
      </c>
      <c r="L56" s="39" t="s">
        <v>230</v>
      </c>
      <c r="M56" s="39" t="s">
        <v>230</v>
      </c>
      <c r="N56" s="39" t="s">
        <v>231</v>
      </c>
      <c r="O56" s="39" t="s">
        <v>230</v>
      </c>
      <c r="P56" s="39" t="s">
        <v>240</v>
      </c>
      <c r="Q56" s="39" t="s">
        <v>240</v>
      </c>
      <c r="R56" s="39" t="s">
        <v>230</v>
      </c>
      <c r="S56" s="39" t="s">
        <v>230</v>
      </c>
      <c r="T56" s="39" t="s">
        <v>234</v>
      </c>
      <c r="U56" s="39" t="s">
        <v>234</v>
      </c>
      <c r="V56" s="39" t="s">
        <v>234</v>
      </c>
      <c r="W56" s="39" t="s">
        <v>231</v>
      </c>
      <c r="X56" s="39" t="s">
        <v>230</v>
      </c>
      <c r="Y56" s="39" t="s">
        <v>230</v>
      </c>
      <c r="Z56" s="39" t="s">
        <v>230</v>
      </c>
      <c r="AA56" s="39" t="s">
        <v>230</v>
      </c>
      <c r="AB56" s="39" t="s">
        <v>230</v>
      </c>
      <c r="AC56" s="39" t="s">
        <v>230</v>
      </c>
      <c r="AD56" s="39" t="s">
        <v>230</v>
      </c>
      <c r="AE56" s="39" t="s">
        <v>231</v>
      </c>
    </row>
    <row r="57" spans="1:31" ht="22.5" customHeight="1" x14ac:dyDescent="0.2">
      <c r="A57" s="39" t="s">
        <v>67</v>
      </c>
      <c r="B57" s="39" t="s">
        <v>70</v>
      </c>
      <c r="C57" s="39" t="s">
        <v>77</v>
      </c>
      <c r="D57" s="39" t="s">
        <v>272</v>
      </c>
      <c r="E57" s="39" t="s">
        <v>81</v>
      </c>
      <c r="F57" s="39" t="s">
        <v>87</v>
      </c>
      <c r="G57" s="39" t="s">
        <v>94</v>
      </c>
      <c r="H57" s="39" t="s">
        <v>100</v>
      </c>
      <c r="I57" s="39" t="s">
        <v>107</v>
      </c>
      <c r="J57" s="39" t="s">
        <v>230</v>
      </c>
      <c r="K57" s="39" t="s">
        <v>240</v>
      </c>
      <c r="L57" s="39" t="s">
        <v>230</v>
      </c>
      <c r="M57" s="39" t="s">
        <v>230</v>
      </c>
      <c r="N57" s="39" t="s">
        <v>230</v>
      </c>
      <c r="O57" s="39" t="s">
        <v>232</v>
      </c>
      <c r="P57" s="39" t="s">
        <v>232</v>
      </c>
      <c r="Q57" s="39" t="s">
        <v>233</v>
      </c>
      <c r="R57" s="39" t="s">
        <v>230</v>
      </c>
      <c r="S57" s="39" t="s">
        <v>230</v>
      </c>
      <c r="T57" s="39" t="s">
        <v>235</v>
      </c>
      <c r="U57" s="39" t="s">
        <v>235</v>
      </c>
      <c r="V57" s="39" t="s">
        <v>235</v>
      </c>
      <c r="W57" s="39" t="s">
        <v>231</v>
      </c>
      <c r="X57" s="39" t="s">
        <v>232</v>
      </c>
      <c r="Y57" s="39" t="s">
        <v>232</v>
      </c>
      <c r="Z57" s="39" t="s">
        <v>232</v>
      </c>
      <c r="AA57" s="39" t="s">
        <v>232</v>
      </c>
      <c r="AB57" s="39" t="s">
        <v>232</v>
      </c>
      <c r="AC57" s="39" t="s">
        <v>232</v>
      </c>
      <c r="AD57" s="39" t="s">
        <v>232</v>
      </c>
      <c r="AE57" s="39" t="s">
        <v>233</v>
      </c>
    </row>
    <row r="58" spans="1:31" ht="22.5" customHeight="1" x14ac:dyDescent="0.2">
      <c r="A58" s="39" t="s">
        <v>67</v>
      </c>
      <c r="B58" s="39" t="s">
        <v>72</v>
      </c>
      <c r="C58" s="39" t="s">
        <v>78</v>
      </c>
      <c r="D58" s="39" t="s">
        <v>264</v>
      </c>
      <c r="E58" s="39" t="s">
        <v>84</v>
      </c>
      <c r="F58" s="39" t="s">
        <v>87</v>
      </c>
      <c r="G58" s="39" t="s">
        <v>94</v>
      </c>
      <c r="H58" s="39" t="s">
        <v>103</v>
      </c>
      <c r="I58" s="39" t="s">
        <v>108</v>
      </c>
      <c r="J58" s="39" t="s">
        <v>231</v>
      </c>
      <c r="K58" s="39" t="s">
        <v>231</v>
      </c>
      <c r="L58" s="39" t="s">
        <v>231</v>
      </c>
      <c r="M58" s="39" t="s">
        <v>231</v>
      </c>
      <c r="N58" s="39" t="s">
        <v>231</v>
      </c>
      <c r="O58" s="39" t="s">
        <v>230</v>
      </c>
      <c r="P58" s="39" t="s">
        <v>230</v>
      </c>
      <c r="Q58" s="39" t="s">
        <v>231</v>
      </c>
      <c r="R58" s="39" t="s">
        <v>230</v>
      </c>
      <c r="S58" s="39" t="s">
        <v>231</v>
      </c>
      <c r="T58" s="39" t="s">
        <v>245</v>
      </c>
      <c r="U58" s="39" t="s">
        <v>245</v>
      </c>
      <c r="V58" s="39" t="s">
        <v>245</v>
      </c>
      <c r="W58" s="39" t="s">
        <v>230</v>
      </c>
      <c r="X58" s="39" t="s">
        <v>231</v>
      </c>
      <c r="Y58" s="39" t="s">
        <v>231</v>
      </c>
      <c r="Z58" s="39" t="s">
        <v>231</v>
      </c>
      <c r="AA58" s="39" t="s">
        <v>231</v>
      </c>
      <c r="AB58" s="39" t="s">
        <v>231</v>
      </c>
      <c r="AC58" s="39" t="s">
        <v>231</v>
      </c>
      <c r="AD58" s="39" t="s">
        <v>231</v>
      </c>
      <c r="AE58" s="39" t="s">
        <v>233</v>
      </c>
    </row>
    <row r="59" spans="1:31" ht="22.5" customHeight="1" x14ac:dyDescent="0.2">
      <c r="A59" s="39" t="s">
        <v>67</v>
      </c>
      <c r="B59" s="39" t="s">
        <v>72</v>
      </c>
      <c r="C59" s="39" t="s">
        <v>76</v>
      </c>
      <c r="D59" s="39" t="s">
        <v>264</v>
      </c>
      <c r="E59" s="39" t="s">
        <v>84</v>
      </c>
      <c r="F59" s="39" t="s">
        <v>89</v>
      </c>
      <c r="G59" s="39" t="s">
        <v>97</v>
      </c>
      <c r="H59" s="39" t="s">
        <v>102</v>
      </c>
      <c r="I59" s="39" t="s">
        <v>110</v>
      </c>
      <c r="J59" s="39" t="s">
        <v>231</v>
      </c>
      <c r="K59" s="39" t="s">
        <v>231</v>
      </c>
      <c r="L59" s="39" t="s">
        <v>231</v>
      </c>
      <c r="M59" s="39" t="s">
        <v>231</v>
      </c>
      <c r="N59" s="39" t="s">
        <v>231</v>
      </c>
      <c r="O59" s="39" t="s">
        <v>231</v>
      </c>
      <c r="P59" s="39" t="s">
        <v>231</v>
      </c>
      <c r="Q59" s="39" t="s">
        <v>231</v>
      </c>
      <c r="R59" s="39" t="s">
        <v>231</v>
      </c>
      <c r="S59" s="39" t="s">
        <v>231</v>
      </c>
      <c r="T59" s="39" t="s">
        <v>245</v>
      </c>
      <c r="U59" s="39" t="s">
        <v>245</v>
      </c>
      <c r="V59" s="39" t="s">
        <v>245</v>
      </c>
      <c r="W59" s="39" t="s">
        <v>232</v>
      </c>
      <c r="X59" s="39" t="s">
        <v>231</v>
      </c>
      <c r="Y59" s="39" t="s">
        <v>231</v>
      </c>
      <c r="Z59" s="39" t="s">
        <v>231</v>
      </c>
      <c r="AA59" s="39" t="s">
        <v>231</v>
      </c>
      <c r="AB59" s="39" t="s">
        <v>231</v>
      </c>
      <c r="AC59" s="39" t="s">
        <v>231</v>
      </c>
      <c r="AD59" s="39" t="s">
        <v>231</v>
      </c>
      <c r="AE59" s="39" t="s">
        <v>231</v>
      </c>
    </row>
    <row r="60" spans="1:31" ht="22.5" customHeight="1" x14ac:dyDescent="0.2">
      <c r="A60" s="39" t="s">
        <v>67</v>
      </c>
      <c r="B60" s="39" t="s">
        <v>73</v>
      </c>
      <c r="C60" s="39" t="s">
        <v>78</v>
      </c>
      <c r="D60" s="39" t="s">
        <v>273</v>
      </c>
      <c r="E60" s="39" t="s">
        <v>81</v>
      </c>
      <c r="F60" s="39" t="s">
        <v>87</v>
      </c>
      <c r="G60" s="39" t="s">
        <v>96</v>
      </c>
      <c r="H60" s="39" t="s">
        <v>101</v>
      </c>
      <c r="I60" s="39" t="s">
        <v>106</v>
      </c>
      <c r="J60" s="39" t="s">
        <v>230</v>
      </c>
      <c r="K60" s="39" t="s">
        <v>230</v>
      </c>
      <c r="L60" s="39" t="s">
        <v>232</v>
      </c>
      <c r="M60" s="39" t="s">
        <v>230</v>
      </c>
      <c r="N60" s="39" t="s">
        <v>230</v>
      </c>
      <c r="O60" s="39" t="s">
        <v>230</v>
      </c>
      <c r="P60" s="39" t="s">
        <v>240</v>
      </c>
      <c r="Q60" s="39" t="s">
        <v>231</v>
      </c>
      <c r="R60" s="39" t="s">
        <v>230</v>
      </c>
      <c r="S60" s="39" t="s">
        <v>231</v>
      </c>
      <c r="T60" s="39" t="s">
        <v>247</v>
      </c>
      <c r="U60" s="39" t="s">
        <v>247</v>
      </c>
      <c r="V60" s="39" t="s">
        <v>247</v>
      </c>
      <c r="W60" s="39" t="s">
        <v>230</v>
      </c>
      <c r="X60" s="39" t="s">
        <v>230</v>
      </c>
      <c r="Y60" s="39" t="s">
        <v>230</v>
      </c>
      <c r="Z60" s="39" t="s">
        <v>230</v>
      </c>
      <c r="AA60" s="39" t="s">
        <v>230</v>
      </c>
      <c r="AB60" s="39" t="s">
        <v>230</v>
      </c>
      <c r="AC60" s="39" t="s">
        <v>230</v>
      </c>
      <c r="AD60" s="39" t="s">
        <v>230</v>
      </c>
      <c r="AE60" s="39" t="s">
        <v>231</v>
      </c>
    </row>
    <row r="61" spans="1:31" ht="22.5" customHeight="1" x14ac:dyDescent="0.2">
      <c r="A61" s="39" t="s">
        <v>66</v>
      </c>
      <c r="B61" s="39" t="s">
        <v>70</v>
      </c>
      <c r="C61" s="39" t="s">
        <v>76</v>
      </c>
      <c r="D61" s="39" t="s">
        <v>237</v>
      </c>
      <c r="E61" s="39" t="s">
        <v>81</v>
      </c>
      <c r="F61" s="39" t="s">
        <v>87</v>
      </c>
      <c r="G61" s="39" t="s">
        <v>94</v>
      </c>
      <c r="H61" s="39" t="s">
        <v>100</v>
      </c>
      <c r="I61" s="39" t="s">
        <v>107</v>
      </c>
      <c r="J61" s="39" t="s">
        <v>230</v>
      </c>
      <c r="K61" s="39" t="s">
        <v>231</v>
      </c>
      <c r="L61" s="39" t="s">
        <v>230</v>
      </c>
      <c r="M61" s="39" t="s">
        <v>230</v>
      </c>
      <c r="N61" s="39" t="s">
        <v>230</v>
      </c>
      <c r="O61" s="39" t="s">
        <v>230</v>
      </c>
      <c r="P61" s="39" t="s">
        <v>230</v>
      </c>
      <c r="Q61" s="39" t="s">
        <v>240</v>
      </c>
      <c r="R61" s="39" t="s">
        <v>230</v>
      </c>
      <c r="S61" s="39" t="s">
        <v>231</v>
      </c>
      <c r="T61" s="39" t="s">
        <v>101</v>
      </c>
      <c r="U61" s="39" t="s">
        <v>247</v>
      </c>
      <c r="V61" s="39" t="s">
        <v>247</v>
      </c>
      <c r="W61" s="39" t="s">
        <v>231</v>
      </c>
      <c r="X61" s="39" t="s">
        <v>231</v>
      </c>
      <c r="Y61" s="39" t="s">
        <v>230</v>
      </c>
      <c r="Z61" s="39" t="s">
        <v>231</v>
      </c>
      <c r="AA61" s="39" t="s">
        <v>230</v>
      </c>
      <c r="AB61" s="39" t="s">
        <v>231</v>
      </c>
      <c r="AC61" s="39" t="s">
        <v>230</v>
      </c>
      <c r="AD61" s="39" t="s">
        <v>231</v>
      </c>
      <c r="AE61" s="39" t="s">
        <v>233</v>
      </c>
    </row>
    <row r="62" spans="1:31" ht="22.5" customHeight="1" x14ac:dyDescent="0.2">
      <c r="A62" s="39" t="s">
        <v>66</v>
      </c>
      <c r="B62" s="39" t="s">
        <v>70</v>
      </c>
      <c r="C62" s="39" t="s">
        <v>77</v>
      </c>
      <c r="D62" s="39" t="s">
        <v>268</v>
      </c>
      <c r="E62" s="39" t="s">
        <v>81</v>
      </c>
      <c r="F62" s="39" t="s">
        <v>87</v>
      </c>
      <c r="G62" s="39" t="s">
        <v>95</v>
      </c>
      <c r="H62" s="39" t="s">
        <v>100</v>
      </c>
      <c r="I62" s="39" t="s">
        <v>106</v>
      </c>
      <c r="J62" s="39" t="s">
        <v>230</v>
      </c>
      <c r="K62" s="39" t="s">
        <v>231</v>
      </c>
      <c r="L62" s="39" t="s">
        <v>230</v>
      </c>
      <c r="M62" s="39" t="s">
        <v>230</v>
      </c>
      <c r="N62" s="39" t="s">
        <v>230</v>
      </c>
      <c r="O62" s="39" t="s">
        <v>230</v>
      </c>
      <c r="P62" s="39" t="s">
        <v>231</v>
      </c>
      <c r="Q62" s="39" t="s">
        <v>231</v>
      </c>
      <c r="R62" s="39" t="s">
        <v>230</v>
      </c>
      <c r="S62" s="39" t="s">
        <v>232</v>
      </c>
      <c r="T62" s="39" t="s">
        <v>234</v>
      </c>
      <c r="U62" s="39" t="s">
        <v>234</v>
      </c>
      <c r="V62" s="39" t="s">
        <v>234</v>
      </c>
      <c r="W62" s="39" t="s">
        <v>231</v>
      </c>
      <c r="X62" s="39" t="s">
        <v>230</v>
      </c>
      <c r="Y62" s="39" t="s">
        <v>230</v>
      </c>
      <c r="Z62" s="39" t="s">
        <v>230</v>
      </c>
      <c r="AA62" s="39" t="s">
        <v>230</v>
      </c>
      <c r="AB62" s="39" t="s">
        <v>230</v>
      </c>
      <c r="AC62" s="39" t="s">
        <v>230</v>
      </c>
      <c r="AD62" s="39" t="s">
        <v>230</v>
      </c>
      <c r="AE62" s="39" t="s">
        <v>240</v>
      </c>
    </row>
    <row r="63" spans="1:31" ht="22.5" customHeight="1" x14ac:dyDescent="0.2">
      <c r="A63" s="39" t="s">
        <v>66</v>
      </c>
      <c r="B63" s="39" t="s">
        <v>71</v>
      </c>
      <c r="C63" s="39" t="s">
        <v>76</v>
      </c>
      <c r="D63" s="39" t="s">
        <v>237</v>
      </c>
      <c r="E63" s="39" t="s">
        <v>81</v>
      </c>
      <c r="F63" s="39" t="s">
        <v>89</v>
      </c>
      <c r="G63" s="39" t="s">
        <v>96</v>
      </c>
      <c r="H63" s="39" t="s">
        <v>101</v>
      </c>
      <c r="I63" s="39" t="s">
        <v>109</v>
      </c>
      <c r="J63" s="39" t="s">
        <v>230</v>
      </c>
      <c r="K63" s="39" t="s">
        <v>240</v>
      </c>
      <c r="L63" s="39" t="s">
        <v>230</v>
      </c>
      <c r="M63" s="39" t="s">
        <v>230</v>
      </c>
      <c r="N63" s="39" t="s">
        <v>231</v>
      </c>
      <c r="O63" s="39" t="s">
        <v>230</v>
      </c>
      <c r="P63" s="39" t="s">
        <v>240</v>
      </c>
      <c r="Q63" s="39" t="s">
        <v>240</v>
      </c>
      <c r="R63" s="39" t="s">
        <v>230</v>
      </c>
      <c r="S63" s="39" t="s">
        <v>230</v>
      </c>
      <c r="T63" s="39" t="s">
        <v>235</v>
      </c>
      <c r="U63" s="39" t="s">
        <v>247</v>
      </c>
      <c r="V63" s="39" t="s">
        <v>247</v>
      </c>
      <c r="W63" s="39" t="s">
        <v>231</v>
      </c>
      <c r="X63" s="39" t="s">
        <v>231</v>
      </c>
      <c r="Y63" s="39" t="s">
        <v>231</v>
      </c>
      <c r="Z63" s="39" t="s">
        <v>231</v>
      </c>
      <c r="AA63" s="39" t="s">
        <v>231</v>
      </c>
      <c r="AB63" s="39" t="s">
        <v>231</v>
      </c>
      <c r="AC63" s="39" t="s">
        <v>231</v>
      </c>
      <c r="AD63" s="39" t="s">
        <v>231</v>
      </c>
      <c r="AE63" s="39" t="s">
        <v>231</v>
      </c>
    </row>
    <row r="64" spans="1:31" ht="22.5" customHeight="1" x14ac:dyDescent="0.2">
      <c r="A64" s="39" t="s">
        <v>68</v>
      </c>
      <c r="B64" s="39" t="s">
        <v>73</v>
      </c>
      <c r="C64" s="39" t="s">
        <v>76</v>
      </c>
      <c r="D64" s="39" t="s">
        <v>274</v>
      </c>
      <c r="E64" s="39" t="s">
        <v>81</v>
      </c>
      <c r="F64" s="39" t="s">
        <v>89</v>
      </c>
      <c r="G64" s="39" t="s">
        <v>96</v>
      </c>
      <c r="H64" s="39" t="s">
        <v>101</v>
      </c>
      <c r="I64" s="39" t="s">
        <v>107</v>
      </c>
      <c r="J64" s="39" t="s">
        <v>230</v>
      </c>
      <c r="K64" s="39" t="s">
        <v>240</v>
      </c>
      <c r="L64" s="39" t="s">
        <v>230</v>
      </c>
      <c r="M64" s="39" t="s">
        <v>230</v>
      </c>
      <c r="N64" s="39" t="s">
        <v>230</v>
      </c>
      <c r="O64" s="39" t="s">
        <v>232</v>
      </c>
      <c r="P64" s="39" t="s">
        <v>233</v>
      </c>
      <c r="Q64" s="39" t="s">
        <v>233</v>
      </c>
      <c r="R64" s="39" t="s">
        <v>232</v>
      </c>
      <c r="S64" s="39" t="s">
        <v>232</v>
      </c>
      <c r="T64" s="39" t="s">
        <v>247</v>
      </c>
      <c r="U64" s="39" t="s">
        <v>247</v>
      </c>
      <c r="V64" s="39" t="s">
        <v>247</v>
      </c>
      <c r="W64" s="39" t="s">
        <v>230</v>
      </c>
      <c r="X64" s="39" t="s">
        <v>230</v>
      </c>
      <c r="Y64" s="39" t="s">
        <v>230</v>
      </c>
      <c r="Z64" s="39" t="s">
        <v>230</v>
      </c>
      <c r="AA64" s="39" t="s">
        <v>230</v>
      </c>
      <c r="AB64" s="39" t="s">
        <v>230</v>
      </c>
      <c r="AC64" s="39" t="s">
        <v>230</v>
      </c>
      <c r="AD64" s="39" t="s">
        <v>230</v>
      </c>
      <c r="AE64" s="39" t="s">
        <v>240</v>
      </c>
    </row>
    <row r="65" spans="1:31" ht="22.5" customHeight="1" x14ac:dyDescent="0.2">
      <c r="A65" s="39" t="s">
        <v>68</v>
      </c>
      <c r="B65" s="39" t="s">
        <v>73</v>
      </c>
      <c r="C65" s="39" t="s">
        <v>76</v>
      </c>
      <c r="D65" s="39" t="s">
        <v>274</v>
      </c>
      <c r="E65" s="39" t="s">
        <v>81</v>
      </c>
      <c r="F65" s="39" t="s">
        <v>87</v>
      </c>
      <c r="G65" s="39" t="s">
        <v>96</v>
      </c>
      <c r="H65" s="39" t="s">
        <v>101</v>
      </c>
      <c r="I65" s="39" t="s">
        <v>109</v>
      </c>
      <c r="J65" s="39" t="s">
        <v>230</v>
      </c>
      <c r="K65" s="39" t="s">
        <v>240</v>
      </c>
      <c r="L65" s="39" t="s">
        <v>230</v>
      </c>
      <c r="M65" s="39" t="s">
        <v>230</v>
      </c>
      <c r="N65" s="39" t="s">
        <v>230</v>
      </c>
      <c r="O65" s="39" t="s">
        <v>230</v>
      </c>
      <c r="P65" s="39" t="s">
        <v>240</v>
      </c>
      <c r="Q65" s="39" t="s">
        <v>230</v>
      </c>
      <c r="R65" s="39" t="s">
        <v>230</v>
      </c>
      <c r="S65" s="39" t="s">
        <v>231</v>
      </c>
      <c r="T65" s="39" t="s">
        <v>247</v>
      </c>
      <c r="U65" s="39" t="s">
        <v>247</v>
      </c>
      <c r="V65" s="39" t="s">
        <v>247</v>
      </c>
      <c r="W65" s="39" t="s">
        <v>230</v>
      </c>
      <c r="X65" s="39" t="s">
        <v>230</v>
      </c>
      <c r="Y65" s="39" t="s">
        <v>230</v>
      </c>
      <c r="Z65" s="39" t="s">
        <v>230</v>
      </c>
      <c r="AA65" s="39" t="s">
        <v>230</v>
      </c>
      <c r="AB65" s="39" t="s">
        <v>230</v>
      </c>
      <c r="AC65" s="39" t="s">
        <v>230</v>
      </c>
      <c r="AD65" s="39" t="s">
        <v>230</v>
      </c>
      <c r="AE65" s="39" t="s">
        <v>240</v>
      </c>
    </row>
    <row r="66" spans="1:31" ht="22.5" customHeight="1" x14ac:dyDescent="0.2">
      <c r="A66" s="39" t="s">
        <v>67</v>
      </c>
      <c r="B66" s="39" t="s">
        <v>72</v>
      </c>
      <c r="C66" s="39" t="s">
        <v>76</v>
      </c>
      <c r="D66" s="39" t="s">
        <v>241</v>
      </c>
      <c r="E66" s="39" t="s">
        <v>81</v>
      </c>
      <c r="F66" s="39" t="s">
        <v>87</v>
      </c>
      <c r="G66" s="39" t="s">
        <v>94</v>
      </c>
      <c r="H66" s="39" t="s">
        <v>102</v>
      </c>
      <c r="I66" s="39" t="s">
        <v>106</v>
      </c>
      <c r="J66" s="39" t="s">
        <v>230</v>
      </c>
      <c r="K66" s="39" t="s">
        <v>240</v>
      </c>
      <c r="L66" s="39" t="s">
        <v>230</v>
      </c>
      <c r="M66" s="39" t="s">
        <v>230</v>
      </c>
      <c r="N66" s="39" t="s">
        <v>230</v>
      </c>
      <c r="O66" s="39" t="s">
        <v>230</v>
      </c>
      <c r="P66" s="39" t="s">
        <v>240</v>
      </c>
      <c r="Q66" s="39" t="s">
        <v>240</v>
      </c>
      <c r="R66" s="39" t="s">
        <v>230</v>
      </c>
      <c r="S66" s="39" t="s">
        <v>230</v>
      </c>
      <c r="T66" s="39" t="s">
        <v>247</v>
      </c>
      <c r="U66" s="39" t="s">
        <v>247</v>
      </c>
      <c r="V66" s="39" t="s">
        <v>247</v>
      </c>
      <c r="W66" s="39" t="s">
        <v>230</v>
      </c>
      <c r="X66" s="39" t="s">
        <v>230</v>
      </c>
      <c r="Y66" s="39" t="s">
        <v>230</v>
      </c>
      <c r="Z66" s="39" t="s">
        <v>230</v>
      </c>
      <c r="AA66" s="39" t="s">
        <v>230</v>
      </c>
      <c r="AB66" s="39" t="s">
        <v>230</v>
      </c>
      <c r="AC66" s="39" t="s">
        <v>230</v>
      </c>
      <c r="AD66" s="39" t="s">
        <v>230</v>
      </c>
      <c r="AE66" s="39" t="s">
        <v>240</v>
      </c>
    </row>
    <row r="67" spans="1:31" ht="22.5" customHeight="1" x14ac:dyDescent="0.2">
      <c r="A67" s="39" t="s">
        <v>66</v>
      </c>
      <c r="B67" s="39" t="s">
        <v>70</v>
      </c>
      <c r="C67" s="39" t="s">
        <v>77</v>
      </c>
      <c r="D67" s="39" t="s">
        <v>275</v>
      </c>
      <c r="E67" s="39" t="s">
        <v>81</v>
      </c>
      <c r="F67" s="39" t="s">
        <v>87</v>
      </c>
      <c r="G67" s="39" t="s">
        <v>94</v>
      </c>
      <c r="H67" s="39" t="s">
        <v>101</v>
      </c>
      <c r="I67" s="39" t="s">
        <v>107</v>
      </c>
      <c r="J67" s="39" t="s">
        <v>232</v>
      </c>
      <c r="K67" s="39" t="s">
        <v>232</v>
      </c>
      <c r="L67" s="39" t="s">
        <v>232</v>
      </c>
      <c r="M67" s="39" t="s">
        <v>232</v>
      </c>
      <c r="N67" s="39" t="s">
        <v>232</v>
      </c>
      <c r="O67" s="39" t="s">
        <v>232</v>
      </c>
      <c r="P67" s="39" t="s">
        <v>233</v>
      </c>
      <c r="Q67" s="39" t="s">
        <v>231</v>
      </c>
      <c r="R67" s="39" t="s">
        <v>232</v>
      </c>
      <c r="S67" s="39" t="s">
        <v>232</v>
      </c>
      <c r="T67" s="39" t="s">
        <v>235</v>
      </c>
      <c r="U67" s="39" t="s">
        <v>235</v>
      </c>
      <c r="V67" s="39" t="s">
        <v>235</v>
      </c>
      <c r="W67" s="39" t="s">
        <v>232</v>
      </c>
      <c r="X67" s="39" t="s">
        <v>232</v>
      </c>
      <c r="Y67" s="39" t="s">
        <v>232</v>
      </c>
      <c r="Z67" s="39" t="s">
        <v>232</v>
      </c>
      <c r="AA67" s="39" t="s">
        <v>232</v>
      </c>
      <c r="AB67" s="39" t="s">
        <v>232</v>
      </c>
      <c r="AC67" s="39" t="s">
        <v>232</v>
      </c>
      <c r="AD67" s="39" t="s">
        <v>232</v>
      </c>
      <c r="AE67" s="39" t="s">
        <v>233</v>
      </c>
    </row>
    <row r="68" spans="1:31" ht="22.5" customHeight="1" x14ac:dyDescent="0.2">
      <c r="A68" s="39" t="s">
        <v>68</v>
      </c>
      <c r="B68" s="39" t="s">
        <v>70</v>
      </c>
      <c r="C68" s="39" t="s">
        <v>77</v>
      </c>
      <c r="D68" s="39" t="s">
        <v>238</v>
      </c>
      <c r="E68" s="39" t="s">
        <v>85</v>
      </c>
      <c r="F68" s="39" t="s">
        <v>91</v>
      </c>
      <c r="G68" s="39" t="s">
        <v>94</v>
      </c>
      <c r="H68" s="39" t="s">
        <v>104</v>
      </c>
      <c r="I68" s="39" t="s">
        <v>110</v>
      </c>
      <c r="J68" s="39" t="s">
        <v>232</v>
      </c>
      <c r="K68" s="39" t="s">
        <v>233</v>
      </c>
      <c r="L68" s="39" t="s">
        <v>230</v>
      </c>
      <c r="M68" s="39" t="s">
        <v>233</v>
      </c>
      <c r="N68" s="39" t="s">
        <v>230</v>
      </c>
      <c r="O68" s="39" t="s">
        <v>230</v>
      </c>
      <c r="P68" s="39" t="s">
        <v>240</v>
      </c>
      <c r="Q68" s="39" t="s">
        <v>240</v>
      </c>
      <c r="R68" s="39" t="s">
        <v>230</v>
      </c>
      <c r="S68" s="39" t="s">
        <v>231</v>
      </c>
      <c r="T68" s="39" t="s">
        <v>234</v>
      </c>
      <c r="U68" s="39" t="s">
        <v>235</v>
      </c>
      <c r="V68" s="39" t="s">
        <v>235</v>
      </c>
      <c r="W68" s="39" t="s">
        <v>230</v>
      </c>
      <c r="X68" s="39" t="s">
        <v>232</v>
      </c>
      <c r="Y68" s="39" t="s">
        <v>232</v>
      </c>
      <c r="Z68" s="39" t="s">
        <v>232</v>
      </c>
      <c r="AA68" s="39" t="s">
        <v>232</v>
      </c>
      <c r="AB68" s="39" t="s">
        <v>232</v>
      </c>
      <c r="AC68" s="39" t="s">
        <v>232</v>
      </c>
      <c r="AD68" s="39" t="s">
        <v>232</v>
      </c>
      <c r="AE68" s="39" t="s">
        <v>240</v>
      </c>
    </row>
    <row r="69" spans="1:31" ht="22.5" customHeight="1" x14ac:dyDescent="0.2">
      <c r="A69" s="39" t="s">
        <v>66</v>
      </c>
      <c r="B69" s="39" t="s">
        <v>70</v>
      </c>
      <c r="C69" s="39" t="s">
        <v>77</v>
      </c>
      <c r="D69" s="39" t="s">
        <v>276</v>
      </c>
      <c r="E69" s="39" t="s">
        <v>81</v>
      </c>
      <c r="F69" s="39" t="s">
        <v>87</v>
      </c>
      <c r="G69" s="39" t="s">
        <v>95</v>
      </c>
      <c r="H69" s="39" t="s">
        <v>101</v>
      </c>
      <c r="I69" s="39" t="s">
        <v>106</v>
      </c>
      <c r="J69" s="39" t="s">
        <v>233</v>
      </c>
      <c r="K69" s="39" t="s">
        <v>233</v>
      </c>
      <c r="L69" s="39" t="s">
        <v>230</v>
      </c>
      <c r="M69" s="39" t="s">
        <v>233</v>
      </c>
      <c r="N69" s="39" t="s">
        <v>233</v>
      </c>
      <c r="O69" s="39" t="s">
        <v>232</v>
      </c>
      <c r="P69" s="39" t="s">
        <v>233</v>
      </c>
      <c r="Q69" s="39" t="s">
        <v>233</v>
      </c>
      <c r="R69" s="39" t="s">
        <v>230</v>
      </c>
      <c r="S69" s="39" t="s">
        <v>230</v>
      </c>
      <c r="T69" s="39" t="s">
        <v>101</v>
      </c>
      <c r="U69" s="39" t="s">
        <v>245</v>
      </c>
      <c r="V69" s="39" t="s">
        <v>245</v>
      </c>
      <c r="W69" s="39" t="s">
        <v>232</v>
      </c>
      <c r="X69" s="39" t="s">
        <v>230</v>
      </c>
      <c r="Y69" s="39" t="s">
        <v>230</v>
      </c>
      <c r="Z69" s="39" t="s">
        <v>230</v>
      </c>
      <c r="AA69" s="39" t="s">
        <v>230</v>
      </c>
      <c r="AB69" s="39" t="s">
        <v>230</v>
      </c>
      <c r="AC69" s="39" t="s">
        <v>230</v>
      </c>
      <c r="AD69" s="39" t="s">
        <v>230</v>
      </c>
      <c r="AE69" s="39" t="s">
        <v>230</v>
      </c>
    </row>
    <row r="70" spans="1:31" ht="22.5" customHeight="1" x14ac:dyDescent="0.2">
      <c r="A70" s="39" t="s">
        <v>66</v>
      </c>
      <c r="B70" s="39" t="s">
        <v>72</v>
      </c>
      <c r="C70" s="39" t="s">
        <v>76</v>
      </c>
      <c r="D70" s="39" t="s">
        <v>277</v>
      </c>
      <c r="E70" s="39" t="s">
        <v>83</v>
      </c>
      <c r="F70" s="39" t="s">
        <v>87</v>
      </c>
      <c r="G70" s="39" t="s">
        <v>98</v>
      </c>
      <c r="H70" s="39" t="s">
        <v>101</v>
      </c>
      <c r="I70" s="39" t="s">
        <v>106</v>
      </c>
      <c r="J70" s="39" t="s">
        <v>230</v>
      </c>
      <c r="K70" s="39" t="s">
        <v>232</v>
      </c>
      <c r="L70" s="39" t="s">
        <v>232</v>
      </c>
      <c r="M70" s="39" t="s">
        <v>232</v>
      </c>
      <c r="N70" s="39" t="s">
        <v>230</v>
      </c>
      <c r="O70" s="39" t="s">
        <v>232</v>
      </c>
      <c r="P70" s="39" t="s">
        <v>232</v>
      </c>
      <c r="Q70" s="39" t="s">
        <v>232</v>
      </c>
      <c r="R70" s="39" t="s">
        <v>232</v>
      </c>
      <c r="S70" s="39" t="s">
        <v>232</v>
      </c>
      <c r="T70" s="39" t="s">
        <v>234</v>
      </c>
      <c r="U70" s="39" t="s">
        <v>234</v>
      </c>
      <c r="V70" s="39" t="s">
        <v>101</v>
      </c>
      <c r="W70" s="39" t="s">
        <v>232</v>
      </c>
      <c r="X70" s="39" t="s">
        <v>232</v>
      </c>
      <c r="Y70" s="39" t="s">
        <v>232</v>
      </c>
      <c r="Z70" s="39" t="s">
        <v>232</v>
      </c>
      <c r="AA70" s="39" t="s">
        <v>232</v>
      </c>
      <c r="AB70" s="39" t="s">
        <v>232</v>
      </c>
      <c r="AC70" s="39" t="s">
        <v>232</v>
      </c>
      <c r="AD70" s="39" t="s">
        <v>232</v>
      </c>
      <c r="AE70" s="39" t="s">
        <v>233</v>
      </c>
    </row>
    <row r="71" spans="1:31" ht="22.5" customHeight="1" x14ac:dyDescent="0.2">
      <c r="A71" s="39" t="s">
        <v>67</v>
      </c>
      <c r="B71" s="39" t="s">
        <v>70</v>
      </c>
      <c r="C71" s="39" t="s">
        <v>77</v>
      </c>
      <c r="D71" s="39" t="s">
        <v>278</v>
      </c>
      <c r="E71" s="39" t="s">
        <v>81</v>
      </c>
      <c r="F71" s="39" t="s">
        <v>87</v>
      </c>
      <c r="G71" s="39" t="s">
        <v>96</v>
      </c>
      <c r="H71" s="39" t="s">
        <v>101</v>
      </c>
      <c r="I71" s="39" t="s">
        <v>106</v>
      </c>
      <c r="J71" s="39" t="s">
        <v>230</v>
      </c>
      <c r="K71" s="39" t="s">
        <v>232</v>
      </c>
      <c r="L71" s="39" t="s">
        <v>231</v>
      </c>
      <c r="M71" s="39" t="s">
        <v>232</v>
      </c>
      <c r="N71" s="39" t="s">
        <v>232</v>
      </c>
      <c r="O71" s="39" t="s">
        <v>232</v>
      </c>
      <c r="P71" s="39" t="s">
        <v>230</v>
      </c>
      <c r="Q71" s="39" t="s">
        <v>232</v>
      </c>
      <c r="R71" s="39" t="s">
        <v>232</v>
      </c>
      <c r="S71" s="39" t="s">
        <v>232</v>
      </c>
      <c r="T71" s="39" t="s">
        <v>101</v>
      </c>
      <c r="U71" s="39" t="s">
        <v>101</v>
      </c>
      <c r="V71" s="39" t="s">
        <v>101</v>
      </c>
      <c r="W71" s="39" t="s">
        <v>231</v>
      </c>
      <c r="X71" s="39" t="s">
        <v>231</v>
      </c>
      <c r="Y71" s="39" t="s">
        <v>232</v>
      </c>
      <c r="Z71" s="39" t="s">
        <v>231</v>
      </c>
      <c r="AA71" s="39" t="s">
        <v>232</v>
      </c>
      <c r="AB71" s="39" t="s">
        <v>231</v>
      </c>
      <c r="AC71" s="39" t="s">
        <v>232</v>
      </c>
      <c r="AD71" s="39" t="s">
        <v>231</v>
      </c>
      <c r="AE71" s="39" t="s">
        <v>231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15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6" sqref="B16"/>
    </sheetView>
  </sheetViews>
  <sheetFormatPr baseColWidth="10" defaultColWidth="8.6640625" defaultRowHeight="15" x14ac:dyDescent="0.2"/>
  <cols>
    <col min="1" max="1" width="34" style="37" customWidth="1"/>
    <col min="2" max="2" width="34.33203125" style="18" bestFit="1" customWidth="1"/>
    <col min="3" max="3" width="14" style="18" customWidth="1"/>
    <col min="4" max="4" width="23.6640625" style="18" bestFit="1" customWidth="1"/>
    <col min="5" max="5" width="14" style="18" customWidth="1"/>
    <col min="6" max="6" width="17.83203125" style="18" bestFit="1" customWidth="1"/>
    <col min="7" max="8" width="14" style="18" customWidth="1"/>
    <col min="9" max="46" width="12" style="18" customWidth="1"/>
    <col min="47" max="16384" width="8.6640625" style="18"/>
  </cols>
  <sheetData>
    <row r="1" spans="1:48" s="16" customFormat="1" ht="21" x14ac:dyDescent="0.25">
      <c r="A1" s="15" t="s">
        <v>214</v>
      </c>
    </row>
    <row r="2" spans="1:48" x14ac:dyDescent="0.2">
      <c r="A2" s="17" t="s">
        <v>0</v>
      </c>
    </row>
    <row r="4" spans="1:48" ht="24" customHeight="1" x14ac:dyDescent="0.2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6" spans="1:48" ht="49.5" customHeight="1" x14ac:dyDescent="0.2">
      <c r="A6" s="40" t="s">
        <v>2</v>
      </c>
      <c r="B6" s="41" t="s">
        <v>3</v>
      </c>
      <c r="C6" s="41" t="s">
        <v>4</v>
      </c>
      <c r="D6" s="41" t="s">
        <v>5</v>
      </c>
      <c r="E6" s="41" t="s">
        <v>6</v>
      </c>
      <c r="F6" s="41" t="s">
        <v>7</v>
      </c>
      <c r="G6" s="41" t="s">
        <v>8</v>
      </c>
      <c r="H6" s="41" t="s">
        <v>9</v>
      </c>
      <c r="I6" s="41" t="s">
        <v>10</v>
      </c>
      <c r="J6" s="41" t="s">
        <v>11</v>
      </c>
      <c r="K6" s="41" t="s">
        <v>12</v>
      </c>
      <c r="L6" s="41" t="s">
        <v>13</v>
      </c>
      <c r="M6" s="41" t="s">
        <v>14</v>
      </c>
      <c r="N6" s="41" t="s">
        <v>15</v>
      </c>
      <c r="O6" s="41" t="s">
        <v>16</v>
      </c>
      <c r="P6" s="41" t="s">
        <v>17</v>
      </c>
      <c r="Q6" s="41" t="s">
        <v>18</v>
      </c>
      <c r="R6" s="41" t="s">
        <v>19</v>
      </c>
      <c r="S6" s="41" t="s">
        <v>20</v>
      </c>
      <c r="T6" s="41" t="s">
        <v>21</v>
      </c>
      <c r="U6" s="41" t="s">
        <v>22</v>
      </c>
      <c r="V6" s="41" t="s">
        <v>23</v>
      </c>
      <c r="W6" s="41" t="s">
        <v>24</v>
      </c>
      <c r="X6" s="41" t="s">
        <v>25</v>
      </c>
      <c r="Y6" s="41" t="s">
        <v>26</v>
      </c>
      <c r="Z6" s="41" t="s">
        <v>27</v>
      </c>
      <c r="AA6" s="41" t="s">
        <v>28</v>
      </c>
      <c r="AB6" s="41" t="s">
        <v>29</v>
      </c>
      <c r="AC6" s="41" t="s">
        <v>30</v>
      </c>
      <c r="AD6" s="41" t="s">
        <v>31</v>
      </c>
      <c r="AE6" s="41" t="s">
        <v>32</v>
      </c>
      <c r="AF6" s="41" t="s">
        <v>33</v>
      </c>
      <c r="AG6" s="41" t="s">
        <v>34</v>
      </c>
      <c r="AH6" s="41" t="s">
        <v>35</v>
      </c>
      <c r="AI6" s="41" t="s">
        <v>36</v>
      </c>
      <c r="AJ6" s="41" t="s">
        <v>37</v>
      </c>
      <c r="AK6" s="41" t="s">
        <v>38</v>
      </c>
      <c r="AL6" s="41" t="s">
        <v>39</v>
      </c>
      <c r="AM6" s="41" t="s">
        <v>40</v>
      </c>
      <c r="AN6" s="41" t="s">
        <v>41</v>
      </c>
      <c r="AO6" s="41" t="s">
        <v>42</v>
      </c>
      <c r="AP6" s="41" t="s">
        <v>43</v>
      </c>
      <c r="AR6" s="1" t="s">
        <v>44</v>
      </c>
      <c r="AS6" s="1" t="s">
        <v>45</v>
      </c>
      <c r="AT6" s="1" t="s">
        <v>46</v>
      </c>
      <c r="AU6" s="1" t="s">
        <v>47</v>
      </c>
      <c r="AV6" s="1" t="s">
        <v>48</v>
      </c>
    </row>
    <row r="7" spans="1:48" x14ac:dyDescent="0.2">
      <c r="A7" s="42">
        <v>3</v>
      </c>
      <c r="B7" s="43">
        <v>3</v>
      </c>
      <c r="C7" s="43">
        <v>1</v>
      </c>
      <c r="D7" s="43">
        <v>2</v>
      </c>
      <c r="E7" s="43">
        <v>5</v>
      </c>
      <c r="F7" s="43">
        <v>3</v>
      </c>
      <c r="G7" s="43">
        <v>5</v>
      </c>
      <c r="H7" s="43">
        <v>2</v>
      </c>
      <c r="I7" s="43">
        <v>5</v>
      </c>
      <c r="J7" s="43">
        <v>5</v>
      </c>
      <c r="K7" s="43">
        <v>1</v>
      </c>
      <c r="L7" s="43">
        <v>3</v>
      </c>
      <c r="M7" s="43">
        <v>3</v>
      </c>
      <c r="N7" s="43">
        <v>5</v>
      </c>
      <c r="O7" s="43">
        <v>5</v>
      </c>
      <c r="P7" s="43">
        <v>4</v>
      </c>
      <c r="Q7" s="43">
        <v>4</v>
      </c>
      <c r="R7" s="43">
        <v>2</v>
      </c>
      <c r="S7" s="43">
        <v>4</v>
      </c>
      <c r="T7" s="43">
        <v>3</v>
      </c>
      <c r="U7" s="43">
        <v>4</v>
      </c>
      <c r="V7" s="43">
        <v>2</v>
      </c>
      <c r="W7" s="43">
        <v>1</v>
      </c>
      <c r="X7" s="43">
        <v>3</v>
      </c>
      <c r="Y7" s="43">
        <v>4</v>
      </c>
      <c r="Z7" s="43">
        <v>4</v>
      </c>
      <c r="AA7" s="43">
        <v>4</v>
      </c>
      <c r="AB7" s="43">
        <v>4</v>
      </c>
      <c r="AC7" s="43">
        <v>4</v>
      </c>
      <c r="AD7" s="43">
        <v>5</v>
      </c>
      <c r="AE7" s="43">
        <v>4</v>
      </c>
      <c r="AF7" s="43">
        <v>5</v>
      </c>
      <c r="AG7" s="43"/>
      <c r="AH7" s="43"/>
      <c r="AI7" s="43">
        <v>4</v>
      </c>
      <c r="AJ7" s="43">
        <v>4.25</v>
      </c>
      <c r="AK7" s="43">
        <v>34</v>
      </c>
      <c r="AL7" s="43" t="s">
        <v>49</v>
      </c>
      <c r="AM7" s="43">
        <v>2.5</v>
      </c>
      <c r="AN7" s="43" t="s">
        <v>50</v>
      </c>
      <c r="AO7" s="43"/>
      <c r="AP7" s="43" t="s">
        <v>51</v>
      </c>
      <c r="AR7" s="22">
        <f t="shared" ref="AR7:AR38" si="0">AVERAGE(K7,M7,N7,O7,P7)</f>
        <v>3.6</v>
      </c>
      <c r="AS7" s="22">
        <f t="shared" ref="AS7:AS38" si="1">AVERAGE(Q7,6-R7,6-S7,T7,U7)</f>
        <v>3.4</v>
      </c>
      <c r="AT7" s="22" t="s">
        <v>52</v>
      </c>
      <c r="AU7" s="22" t="str">
        <f t="shared" ref="AU7:AU38" si="2">IF(AR7&gt;=4,"High","Low")</f>
        <v>Low</v>
      </c>
      <c r="AV7" s="22" t="str">
        <f t="shared" ref="AV7:AV38" si="3">IF(AS7&gt;=4,"High","Low")</f>
        <v>Low</v>
      </c>
    </row>
    <row r="8" spans="1:48" x14ac:dyDescent="0.2">
      <c r="A8" s="42">
        <v>2</v>
      </c>
      <c r="B8" s="43">
        <v>1</v>
      </c>
      <c r="C8" s="43">
        <v>1</v>
      </c>
      <c r="D8" s="43">
        <v>6</v>
      </c>
      <c r="E8" s="43">
        <v>5</v>
      </c>
      <c r="F8" s="43">
        <v>2</v>
      </c>
      <c r="G8" s="43">
        <v>5</v>
      </c>
      <c r="H8" s="43">
        <v>1</v>
      </c>
      <c r="I8" s="43">
        <v>3</v>
      </c>
      <c r="J8" s="43">
        <v>5</v>
      </c>
      <c r="K8" s="43">
        <v>1</v>
      </c>
      <c r="L8" s="43">
        <v>3</v>
      </c>
      <c r="M8" s="43">
        <v>3</v>
      </c>
      <c r="N8" s="43">
        <v>5</v>
      </c>
      <c r="O8" s="43">
        <v>5</v>
      </c>
      <c r="P8" s="43">
        <v>5</v>
      </c>
      <c r="Q8" s="43">
        <v>4</v>
      </c>
      <c r="R8" s="43">
        <v>3</v>
      </c>
      <c r="S8" s="43">
        <v>4</v>
      </c>
      <c r="T8" s="43">
        <v>4</v>
      </c>
      <c r="U8" s="43">
        <v>4</v>
      </c>
      <c r="V8" s="43">
        <v>3</v>
      </c>
      <c r="W8" s="43">
        <v>3</v>
      </c>
      <c r="X8" s="43">
        <v>3</v>
      </c>
      <c r="Y8" s="43">
        <v>4</v>
      </c>
      <c r="Z8" s="43">
        <v>5</v>
      </c>
      <c r="AA8" s="43">
        <v>5</v>
      </c>
      <c r="AB8" s="43">
        <v>4</v>
      </c>
      <c r="AC8" s="43">
        <v>4</v>
      </c>
      <c r="AD8" s="43">
        <v>4</v>
      </c>
      <c r="AE8" s="43">
        <v>5</v>
      </c>
      <c r="AF8" s="43">
        <v>5</v>
      </c>
      <c r="AG8" s="43"/>
      <c r="AH8" s="43"/>
      <c r="AI8" s="43">
        <v>4</v>
      </c>
      <c r="AJ8" s="43">
        <v>4.5</v>
      </c>
      <c r="AK8" s="43">
        <v>36</v>
      </c>
      <c r="AL8" s="43" t="s">
        <v>49</v>
      </c>
      <c r="AM8" s="43">
        <v>3.25</v>
      </c>
      <c r="AN8" s="43" t="s">
        <v>50</v>
      </c>
      <c r="AO8" s="43"/>
      <c r="AP8" s="43" t="s">
        <v>51</v>
      </c>
      <c r="AR8" s="22">
        <f t="shared" si="0"/>
        <v>3.8</v>
      </c>
      <c r="AS8" s="22">
        <f t="shared" si="1"/>
        <v>3.4</v>
      </c>
      <c r="AT8" s="22" t="s">
        <v>52</v>
      </c>
      <c r="AU8" s="22" t="str">
        <f t="shared" si="2"/>
        <v>Low</v>
      </c>
      <c r="AV8" s="22" t="str">
        <f t="shared" si="3"/>
        <v>Low</v>
      </c>
    </row>
    <row r="9" spans="1:48" x14ac:dyDescent="0.2">
      <c r="A9" s="42">
        <v>2</v>
      </c>
      <c r="B9" s="43">
        <v>1</v>
      </c>
      <c r="C9" s="43">
        <v>2</v>
      </c>
      <c r="D9" s="43">
        <v>3</v>
      </c>
      <c r="E9" s="43">
        <v>5</v>
      </c>
      <c r="F9" s="43">
        <v>3</v>
      </c>
      <c r="G9" s="43">
        <v>5</v>
      </c>
      <c r="H9" s="43">
        <v>1</v>
      </c>
      <c r="I9" s="43">
        <v>2</v>
      </c>
      <c r="J9" s="43">
        <v>3</v>
      </c>
      <c r="K9" s="43">
        <v>3</v>
      </c>
      <c r="L9" s="43">
        <v>3</v>
      </c>
      <c r="M9" s="43">
        <v>3</v>
      </c>
      <c r="N9" s="43">
        <v>4</v>
      </c>
      <c r="O9" s="43">
        <v>3</v>
      </c>
      <c r="P9" s="43">
        <v>4</v>
      </c>
      <c r="Q9" s="43">
        <v>4</v>
      </c>
      <c r="R9" s="43">
        <v>2</v>
      </c>
      <c r="S9" s="43">
        <v>3</v>
      </c>
      <c r="T9" s="43">
        <v>4</v>
      </c>
      <c r="U9" s="43">
        <v>3</v>
      </c>
      <c r="V9" s="43">
        <v>2</v>
      </c>
      <c r="W9" s="43">
        <v>2</v>
      </c>
      <c r="X9" s="43">
        <v>1</v>
      </c>
      <c r="Y9" s="43">
        <v>5</v>
      </c>
      <c r="Z9" s="43">
        <v>3</v>
      </c>
      <c r="AA9" s="43">
        <v>4</v>
      </c>
      <c r="AB9" s="43">
        <v>3</v>
      </c>
      <c r="AC9" s="43">
        <v>4</v>
      </c>
      <c r="AD9" s="43">
        <v>4</v>
      </c>
      <c r="AE9" s="43">
        <v>4</v>
      </c>
      <c r="AF9" s="43">
        <v>3</v>
      </c>
      <c r="AG9" s="43"/>
      <c r="AH9" s="43"/>
      <c r="AI9" s="43">
        <v>4</v>
      </c>
      <c r="AJ9" s="43">
        <v>3.625</v>
      </c>
      <c r="AK9" s="43">
        <v>29</v>
      </c>
      <c r="AL9" s="43" t="s">
        <v>53</v>
      </c>
      <c r="AM9" s="43">
        <v>2.5</v>
      </c>
      <c r="AN9" s="43" t="s">
        <v>50</v>
      </c>
      <c r="AO9" s="43"/>
      <c r="AP9" s="43" t="s">
        <v>51</v>
      </c>
      <c r="AR9" s="22">
        <f t="shared" si="0"/>
        <v>3.4</v>
      </c>
      <c r="AS9" s="22">
        <f t="shared" si="1"/>
        <v>3.6</v>
      </c>
      <c r="AT9" s="22" t="s">
        <v>52</v>
      </c>
      <c r="AU9" s="22" t="str">
        <f t="shared" si="2"/>
        <v>Low</v>
      </c>
      <c r="AV9" s="22" t="str">
        <f t="shared" si="3"/>
        <v>Low</v>
      </c>
    </row>
    <row r="10" spans="1:48" x14ac:dyDescent="0.2">
      <c r="A10" s="42">
        <v>3</v>
      </c>
      <c r="B10" s="43">
        <v>1</v>
      </c>
      <c r="C10" s="43">
        <v>2</v>
      </c>
      <c r="D10" s="43">
        <v>2</v>
      </c>
      <c r="E10" s="43">
        <v>5</v>
      </c>
      <c r="F10" s="43">
        <v>3</v>
      </c>
      <c r="G10" s="43">
        <v>3</v>
      </c>
      <c r="H10" s="43">
        <v>1</v>
      </c>
      <c r="I10" s="43">
        <v>5</v>
      </c>
      <c r="J10" s="43">
        <v>4</v>
      </c>
      <c r="K10" s="43">
        <v>2</v>
      </c>
      <c r="L10" s="43">
        <v>2</v>
      </c>
      <c r="M10" s="43">
        <v>4</v>
      </c>
      <c r="N10" s="43">
        <v>5</v>
      </c>
      <c r="O10" s="43">
        <v>4</v>
      </c>
      <c r="P10" s="43">
        <v>5</v>
      </c>
      <c r="Q10" s="43">
        <v>4</v>
      </c>
      <c r="R10" s="43">
        <v>4</v>
      </c>
      <c r="S10" s="43">
        <v>2</v>
      </c>
      <c r="T10" s="43">
        <v>4</v>
      </c>
      <c r="U10" s="43">
        <v>4</v>
      </c>
      <c r="V10" s="43">
        <v>2</v>
      </c>
      <c r="W10" s="43">
        <v>2</v>
      </c>
      <c r="X10" s="43">
        <v>2</v>
      </c>
      <c r="Y10" s="43">
        <v>5</v>
      </c>
      <c r="Z10" s="43">
        <v>5</v>
      </c>
      <c r="AA10" s="43">
        <v>5</v>
      </c>
      <c r="AB10" s="43">
        <v>4</v>
      </c>
      <c r="AC10" s="43">
        <v>4</v>
      </c>
      <c r="AD10" s="43">
        <v>4</v>
      </c>
      <c r="AE10" s="43">
        <v>5</v>
      </c>
      <c r="AF10" s="43">
        <v>5</v>
      </c>
      <c r="AG10" s="43"/>
      <c r="AH10" s="43"/>
      <c r="AI10" s="43">
        <v>4</v>
      </c>
      <c r="AJ10" s="43">
        <v>4.5</v>
      </c>
      <c r="AK10" s="43">
        <v>36</v>
      </c>
      <c r="AL10" s="43" t="s">
        <v>49</v>
      </c>
      <c r="AM10" s="43">
        <v>2.75</v>
      </c>
      <c r="AN10" s="43" t="s">
        <v>50</v>
      </c>
      <c r="AO10" s="43"/>
      <c r="AP10" s="43" t="s">
        <v>51</v>
      </c>
      <c r="AR10" s="22">
        <f t="shared" si="0"/>
        <v>4</v>
      </c>
      <c r="AS10" s="22">
        <f t="shared" si="1"/>
        <v>3.6</v>
      </c>
      <c r="AT10" s="22" t="s">
        <v>52</v>
      </c>
      <c r="AU10" s="22" t="str">
        <f t="shared" si="2"/>
        <v>High</v>
      </c>
      <c r="AV10" s="22" t="str">
        <f t="shared" si="3"/>
        <v>Low</v>
      </c>
    </row>
    <row r="11" spans="1:48" x14ac:dyDescent="0.2">
      <c r="A11" s="42">
        <v>3</v>
      </c>
      <c r="B11" s="43">
        <v>1</v>
      </c>
      <c r="C11" s="43">
        <v>2</v>
      </c>
      <c r="D11" s="43">
        <v>1</v>
      </c>
      <c r="E11" s="43">
        <v>1</v>
      </c>
      <c r="F11" s="43">
        <v>1</v>
      </c>
      <c r="G11" s="43">
        <v>1</v>
      </c>
      <c r="H11" s="43">
        <v>5</v>
      </c>
      <c r="I11" s="43">
        <v>1</v>
      </c>
      <c r="J11" s="43">
        <v>3</v>
      </c>
      <c r="K11" s="43">
        <v>3</v>
      </c>
      <c r="L11" s="43">
        <v>2</v>
      </c>
      <c r="M11" s="43">
        <v>4</v>
      </c>
      <c r="N11" s="43">
        <v>5</v>
      </c>
      <c r="O11" s="43">
        <v>5</v>
      </c>
      <c r="P11" s="43">
        <v>5</v>
      </c>
      <c r="Q11" s="43">
        <v>4</v>
      </c>
      <c r="R11" s="43">
        <v>4</v>
      </c>
      <c r="S11" s="43">
        <v>4</v>
      </c>
      <c r="T11" s="43">
        <v>4</v>
      </c>
      <c r="U11" s="43">
        <v>4</v>
      </c>
      <c r="V11" s="43">
        <v>2</v>
      </c>
      <c r="W11" s="43">
        <v>2</v>
      </c>
      <c r="X11" s="43">
        <v>2</v>
      </c>
      <c r="Y11" s="43">
        <v>3</v>
      </c>
      <c r="Z11" s="43">
        <v>3</v>
      </c>
      <c r="AA11" s="43">
        <v>3</v>
      </c>
      <c r="AB11" s="43">
        <v>3</v>
      </c>
      <c r="AC11" s="43">
        <v>3</v>
      </c>
      <c r="AD11" s="43">
        <v>3</v>
      </c>
      <c r="AE11" s="43">
        <v>3</v>
      </c>
      <c r="AF11" s="43">
        <v>3</v>
      </c>
      <c r="AG11" s="43"/>
      <c r="AH11" s="43"/>
      <c r="AI11" s="43">
        <v>3</v>
      </c>
      <c r="AJ11" s="43">
        <v>3</v>
      </c>
      <c r="AK11" s="43">
        <v>24</v>
      </c>
      <c r="AL11" s="43" t="s">
        <v>53</v>
      </c>
      <c r="AM11" s="43">
        <v>2.25</v>
      </c>
      <c r="AN11" s="43" t="s">
        <v>50</v>
      </c>
      <c r="AO11" s="43"/>
      <c r="AP11" s="43" t="s">
        <v>54</v>
      </c>
      <c r="AR11" s="22">
        <f t="shared" si="0"/>
        <v>4.4000000000000004</v>
      </c>
      <c r="AS11" s="22">
        <f t="shared" si="1"/>
        <v>3.2</v>
      </c>
      <c r="AT11" s="22" t="s">
        <v>55</v>
      </c>
      <c r="AU11" s="22" t="str">
        <f t="shared" si="2"/>
        <v>High</v>
      </c>
      <c r="AV11" s="22" t="str">
        <f t="shared" si="3"/>
        <v>Low</v>
      </c>
    </row>
    <row r="12" spans="1:48" x14ac:dyDescent="0.2">
      <c r="A12" s="42">
        <v>3</v>
      </c>
      <c r="B12" s="43">
        <v>1</v>
      </c>
      <c r="C12" s="43">
        <v>2</v>
      </c>
      <c r="D12" s="43">
        <v>1</v>
      </c>
      <c r="E12" s="43">
        <v>1</v>
      </c>
      <c r="F12" s="43">
        <v>5</v>
      </c>
      <c r="G12" s="43">
        <v>1</v>
      </c>
      <c r="H12" s="43">
        <v>5</v>
      </c>
      <c r="I12" s="43">
        <v>1</v>
      </c>
      <c r="J12" s="43">
        <v>4</v>
      </c>
      <c r="K12" s="43">
        <v>2</v>
      </c>
      <c r="L12" s="43">
        <v>2</v>
      </c>
      <c r="M12" s="43">
        <v>4</v>
      </c>
      <c r="N12" s="43">
        <v>5</v>
      </c>
      <c r="O12" s="43">
        <v>4</v>
      </c>
      <c r="P12" s="43">
        <v>5</v>
      </c>
      <c r="Q12" s="43">
        <v>5</v>
      </c>
      <c r="R12" s="43">
        <v>2</v>
      </c>
      <c r="S12" s="43">
        <v>2</v>
      </c>
      <c r="T12" s="43">
        <v>4</v>
      </c>
      <c r="U12" s="43">
        <v>3</v>
      </c>
      <c r="V12" s="43">
        <v>2</v>
      </c>
      <c r="W12" s="43">
        <v>3</v>
      </c>
      <c r="X12" s="43">
        <v>2</v>
      </c>
      <c r="Y12" s="43">
        <v>3</v>
      </c>
      <c r="Z12" s="43">
        <v>4</v>
      </c>
      <c r="AA12" s="43">
        <v>3</v>
      </c>
      <c r="AB12" s="43">
        <v>3</v>
      </c>
      <c r="AC12" s="43">
        <v>4</v>
      </c>
      <c r="AD12" s="43">
        <v>3</v>
      </c>
      <c r="AE12" s="43">
        <v>4</v>
      </c>
      <c r="AF12" s="43">
        <v>4</v>
      </c>
      <c r="AG12" s="43"/>
      <c r="AH12" s="43"/>
      <c r="AI12" s="43">
        <v>4</v>
      </c>
      <c r="AJ12" s="43">
        <v>3.625</v>
      </c>
      <c r="AK12" s="43">
        <v>29</v>
      </c>
      <c r="AL12" s="43" t="s">
        <v>53</v>
      </c>
      <c r="AM12" s="43">
        <v>2.5</v>
      </c>
      <c r="AN12" s="43" t="s">
        <v>50</v>
      </c>
      <c r="AO12" s="43"/>
      <c r="AP12" s="43" t="s">
        <v>54</v>
      </c>
      <c r="AR12" s="22">
        <f t="shared" si="0"/>
        <v>4</v>
      </c>
      <c r="AS12" s="22">
        <f t="shared" si="1"/>
        <v>4</v>
      </c>
      <c r="AT12" s="22" t="s">
        <v>55</v>
      </c>
      <c r="AU12" s="22" t="str">
        <f t="shared" si="2"/>
        <v>High</v>
      </c>
      <c r="AV12" s="22" t="str">
        <f t="shared" si="3"/>
        <v>High</v>
      </c>
    </row>
    <row r="13" spans="1:48" x14ac:dyDescent="0.2">
      <c r="A13" s="42">
        <v>3</v>
      </c>
      <c r="B13" s="43">
        <v>1</v>
      </c>
      <c r="C13" s="43">
        <v>2</v>
      </c>
      <c r="D13" s="43">
        <v>4</v>
      </c>
      <c r="E13" s="43">
        <v>3</v>
      </c>
      <c r="F13" s="43">
        <v>4</v>
      </c>
      <c r="G13" s="43">
        <v>1</v>
      </c>
      <c r="H13" s="43">
        <v>2</v>
      </c>
      <c r="I13" s="43">
        <v>3</v>
      </c>
      <c r="J13" s="43">
        <v>4</v>
      </c>
      <c r="K13" s="43">
        <v>2</v>
      </c>
      <c r="L13" s="43">
        <v>3</v>
      </c>
      <c r="M13" s="43">
        <v>3</v>
      </c>
      <c r="N13" s="43">
        <v>5</v>
      </c>
      <c r="O13" s="43">
        <v>5</v>
      </c>
      <c r="P13" s="43">
        <v>3</v>
      </c>
      <c r="Q13" s="43">
        <v>4</v>
      </c>
      <c r="R13" s="43">
        <v>4</v>
      </c>
      <c r="S13" s="43">
        <v>4</v>
      </c>
      <c r="T13" s="43">
        <v>4</v>
      </c>
      <c r="U13" s="43">
        <v>4</v>
      </c>
      <c r="V13" s="43">
        <v>3</v>
      </c>
      <c r="W13" s="43">
        <v>3</v>
      </c>
      <c r="X13" s="43">
        <v>3</v>
      </c>
      <c r="Y13" s="43">
        <v>4</v>
      </c>
      <c r="Z13" s="43">
        <v>4</v>
      </c>
      <c r="AA13" s="43">
        <v>4</v>
      </c>
      <c r="AB13" s="43">
        <v>4</v>
      </c>
      <c r="AC13" s="43">
        <v>4</v>
      </c>
      <c r="AD13" s="43">
        <v>3</v>
      </c>
      <c r="AE13" s="43">
        <v>4</v>
      </c>
      <c r="AF13" s="43">
        <v>4</v>
      </c>
      <c r="AG13" s="43"/>
      <c r="AH13" s="43"/>
      <c r="AI13" s="43">
        <v>3</v>
      </c>
      <c r="AJ13" s="43">
        <v>3.75</v>
      </c>
      <c r="AK13" s="43">
        <v>30</v>
      </c>
      <c r="AL13" s="43" t="s">
        <v>53</v>
      </c>
      <c r="AM13" s="43">
        <v>3.25</v>
      </c>
      <c r="AN13" s="43" t="s">
        <v>50</v>
      </c>
      <c r="AO13" s="43"/>
      <c r="AP13" s="43" t="s">
        <v>51</v>
      </c>
      <c r="AR13" s="22">
        <f t="shared" si="0"/>
        <v>3.6</v>
      </c>
      <c r="AS13" s="22">
        <f t="shared" si="1"/>
        <v>3.2</v>
      </c>
      <c r="AT13" s="22" t="s">
        <v>52</v>
      </c>
      <c r="AU13" s="22" t="str">
        <f t="shared" si="2"/>
        <v>Low</v>
      </c>
      <c r="AV13" s="22" t="str">
        <f t="shared" si="3"/>
        <v>Low</v>
      </c>
    </row>
    <row r="14" spans="1:48" x14ac:dyDescent="0.2">
      <c r="A14" s="42">
        <v>3</v>
      </c>
      <c r="B14" s="43">
        <v>1</v>
      </c>
      <c r="C14" s="43">
        <v>2</v>
      </c>
      <c r="D14" s="43">
        <v>1</v>
      </c>
      <c r="E14" s="43">
        <v>1</v>
      </c>
      <c r="F14" s="43">
        <v>1</v>
      </c>
      <c r="G14" s="43">
        <v>1</v>
      </c>
      <c r="H14" s="43">
        <v>5</v>
      </c>
      <c r="I14" s="43">
        <v>1</v>
      </c>
      <c r="J14" s="43">
        <v>1</v>
      </c>
      <c r="K14" s="43">
        <v>5</v>
      </c>
      <c r="L14" s="43">
        <v>2</v>
      </c>
      <c r="M14" s="43">
        <v>4</v>
      </c>
      <c r="N14" s="43">
        <v>5</v>
      </c>
      <c r="O14" s="43">
        <v>5</v>
      </c>
      <c r="P14" s="43">
        <v>5</v>
      </c>
      <c r="Q14" s="43">
        <v>5</v>
      </c>
      <c r="R14" s="43">
        <v>1</v>
      </c>
      <c r="S14" s="43">
        <v>1</v>
      </c>
      <c r="T14" s="43">
        <v>5</v>
      </c>
      <c r="U14" s="43">
        <v>5</v>
      </c>
      <c r="V14" s="43">
        <v>3</v>
      </c>
      <c r="W14" s="43">
        <v>3</v>
      </c>
      <c r="X14" s="43">
        <v>3</v>
      </c>
      <c r="Y14" s="43">
        <v>3</v>
      </c>
      <c r="Z14" s="43">
        <v>3</v>
      </c>
      <c r="AA14" s="43">
        <v>4</v>
      </c>
      <c r="AB14" s="43">
        <v>4</v>
      </c>
      <c r="AC14" s="43">
        <v>2</v>
      </c>
      <c r="AD14" s="43">
        <v>2</v>
      </c>
      <c r="AE14" s="43">
        <v>5</v>
      </c>
      <c r="AF14" s="43">
        <v>3</v>
      </c>
      <c r="AG14" s="43"/>
      <c r="AH14" s="43"/>
      <c r="AI14" s="43">
        <v>2</v>
      </c>
      <c r="AJ14" s="43">
        <v>3.125</v>
      </c>
      <c r="AK14" s="43">
        <v>25</v>
      </c>
      <c r="AL14" s="43" t="s">
        <v>53</v>
      </c>
      <c r="AM14" s="43">
        <v>3</v>
      </c>
      <c r="AN14" s="43" t="s">
        <v>50</v>
      </c>
      <c r="AO14" s="43"/>
      <c r="AP14" s="43" t="s">
        <v>54</v>
      </c>
      <c r="AR14" s="22">
        <f t="shared" si="0"/>
        <v>4.8</v>
      </c>
      <c r="AS14" s="22">
        <f t="shared" si="1"/>
        <v>5</v>
      </c>
      <c r="AT14" s="22" t="s">
        <v>55</v>
      </c>
      <c r="AU14" s="22" t="str">
        <f t="shared" si="2"/>
        <v>High</v>
      </c>
      <c r="AV14" s="22" t="str">
        <f t="shared" si="3"/>
        <v>High</v>
      </c>
    </row>
    <row r="15" spans="1:48" x14ac:dyDescent="0.2">
      <c r="A15" s="42">
        <v>2</v>
      </c>
      <c r="B15" s="43">
        <v>1</v>
      </c>
      <c r="C15" s="43">
        <v>2</v>
      </c>
      <c r="D15" s="43">
        <v>5</v>
      </c>
      <c r="E15" s="43">
        <v>5</v>
      </c>
      <c r="F15" s="43">
        <v>4</v>
      </c>
      <c r="G15" s="43">
        <v>3</v>
      </c>
      <c r="H15" s="43">
        <v>1</v>
      </c>
      <c r="I15" s="43">
        <v>5</v>
      </c>
      <c r="J15" s="43">
        <v>5</v>
      </c>
      <c r="K15" s="43">
        <v>1</v>
      </c>
      <c r="L15" s="43">
        <v>5</v>
      </c>
      <c r="M15" s="43">
        <v>1</v>
      </c>
      <c r="N15" s="43">
        <v>5</v>
      </c>
      <c r="O15" s="43">
        <v>5</v>
      </c>
      <c r="P15" s="43">
        <v>5</v>
      </c>
      <c r="Q15" s="43">
        <v>4</v>
      </c>
      <c r="R15" s="43">
        <v>2</v>
      </c>
      <c r="S15" s="43">
        <v>2</v>
      </c>
      <c r="T15" s="43">
        <v>4</v>
      </c>
      <c r="U15" s="43">
        <v>5</v>
      </c>
      <c r="V15" s="43">
        <v>2</v>
      </c>
      <c r="W15" s="43">
        <v>2</v>
      </c>
      <c r="X15" s="43">
        <v>2</v>
      </c>
      <c r="Y15" s="43">
        <v>4</v>
      </c>
      <c r="Z15" s="43">
        <v>3</v>
      </c>
      <c r="AA15" s="43">
        <v>5</v>
      </c>
      <c r="AB15" s="43">
        <v>4</v>
      </c>
      <c r="AC15" s="43">
        <v>3</v>
      </c>
      <c r="AD15" s="43">
        <v>3</v>
      </c>
      <c r="AE15" s="43">
        <v>5</v>
      </c>
      <c r="AF15" s="43">
        <v>4</v>
      </c>
      <c r="AG15" s="43"/>
      <c r="AH15" s="43"/>
      <c r="AI15" s="43">
        <v>2</v>
      </c>
      <c r="AJ15" s="43">
        <v>3.625</v>
      </c>
      <c r="AK15" s="43">
        <v>29</v>
      </c>
      <c r="AL15" s="43" t="s">
        <v>53</v>
      </c>
      <c r="AM15" s="43">
        <v>2.5</v>
      </c>
      <c r="AN15" s="43" t="s">
        <v>50</v>
      </c>
      <c r="AO15" s="43"/>
      <c r="AP15" s="43" t="s">
        <v>51</v>
      </c>
      <c r="AR15" s="22">
        <f t="shared" si="0"/>
        <v>3.4</v>
      </c>
      <c r="AS15" s="22">
        <f t="shared" si="1"/>
        <v>4.2</v>
      </c>
      <c r="AT15" s="22" t="s">
        <v>52</v>
      </c>
      <c r="AU15" s="22" t="str">
        <f t="shared" si="2"/>
        <v>Low</v>
      </c>
      <c r="AV15" s="22" t="str">
        <f t="shared" si="3"/>
        <v>High</v>
      </c>
    </row>
    <row r="16" spans="1:48" x14ac:dyDescent="0.2">
      <c r="A16" s="42">
        <v>3</v>
      </c>
      <c r="B16" s="43">
        <v>2</v>
      </c>
      <c r="C16" s="43">
        <v>1</v>
      </c>
      <c r="D16" s="43">
        <v>3</v>
      </c>
      <c r="E16" s="43">
        <v>5</v>
      </c>
      <c r="F16" s="43">
        <v>3</v>
      </c>
      <c r="G16" s="43">
        <v>2</v>
      </c>
      <c r="H16" s="43">
        <v>2</v>
      </c>
      <c r="I16" s="43">
        <v>4</v>
      </c>
      <c r="J16" s="43">
        <v>5</v>
      </c>
      <c r="K16" s="43">
        <v>1</v>
      </c>
      <c r="L16" s="43">
        <v>2</v>
      </c>
      <c r="M16" s="43">
        <v>4</v>
      </c>
      <c r="N16" s="43">
        <v>5</v>
      </c>
      <c r="O16" s="43">
        <v>5</v>
      </c>
      <c r="P16" s="43">
        <v>5</v>
      </c>
      <c r="Q16" s="43">
        <v>2</v>
      </c>
      <c r="R16" s="43">
        <v>5</v>
      </c>
      <c r="S16" s="43">
        <v>5</v>
      </c>
      <c r="T16" s="43">
        <v>2</v>
      </c>
      <c r="U16" s="43">
        <v>4</v>
      </c>
      <c r="V16" s="43">
        <v>1</v>
      </c>
      <c r="W16" s="43">
        <v>1</v>
      </c>
      <c r="X16" s="43">
        <v>1</v>
      </c>
      <c r="Y16" s="43">
        <v>4</v>
      </c>
      <c r="Z16" s="43">
        <v>4</v>
      </c>
      <c r="AA16" s="43">
        <v>3</v>
      </c>
      <c r="AB16" s="43">
        <v>3</v>
      </c>
      <c r="AC16" s="43">
        <v>4</v>
      </c>
      <c r="AD16" s="43">
        <v>2</v>
      </c>
      <c r="AE16" s="43">
        <v>4</v>
      </c>
      <c r="AF16" s="43">
        <v>4</v>
      </c>
      <c r="AG16" s="43"/>
      <c r="AH16" s="43"/>
      <c r="AI16" s="43">
        <v>1</v>
      </c>
      <c r="AJ16" s="43">
        <v>3.125</v>
      </c>
      <c r="AK16" s="43">
        <v>25</v>
      </c>
      <c r="AL16" s="43" t="s">
        <v>53</v>
      </c>
      <c r="AM16" s="43">
        <v>1.75</v>
      </c>
      <c r="AN16" s="43" t="s">
        <v>50</v>
      </c>
      <c r="AO16" s="43"/>
      <c r="AP16" s="43" t="s">
        <v>51</v>
      </c>
      <c r="AR16" s="22">
        <f t="shared" si="0"/>
        <v>4</v>
      </c>
      <c r="AS16" s="22">
        <f t="shared" si="1"/>
        <v>2</v>
      </c>
      <c r="AT16" s="22" t="s">
        <v>52</v>
      </c>
      <c r="AU16" s="22" t="str">
        <f t="shared" si="2"/>
        <v>High</v>
      </c>
      <c r="AV16" s="22" t="str">
        <f t="shared" si="3"/>
        <v>Low</v>
      </c>
    </row>
    <row r="17" spans="1:48" x14ac:dyDescent="0.2">
      <c r="A17" s="42">
        <v>3</v>
      </c>
      <c r="B17" s="43">
        <v>2</v>
      </c>
      <c r="C17" s="43">
        <v>2</v>
      </c>
      <c r="D17" s="43">
        <v>6</v>
      </c>
      <c r="E17" s="43">
        <v>5</v>
      </c>
      <c r="F17" s="43">
        <v>3</v>
      </c>
      <c r="G17" s="43">
        <v>2</v>
      </c>
      <c r="H17" s="43">
        <v>2</v>
      </c>
      <c r="I17" s="43">
        <v>4</v>
      </c>
      <c r="J17" s="43">
        <v>4</v>
      </c>
      <c r="K17" s="43">
        <v>2</v>
      </c>
      <c r="L17" s="43">
        <v>1</v>
      </c>
      <c r="M17" s="43">
        <v>5</v>
      </c>
      <c r="N17" s="43">
        <v>5</v>
      </c>
      <c r="O17" s="43">
        <v>5</v>
      </c>
      <c r="P17" s="43">
        <v>5</v>
      </c>
      <c r="Q17" s="43">
        <v>5</v>
      </c>
      <c r="R17" s="43">
        <v>1</v>
      </c>
      <c r="S17" s="43">
        <v>1</v>
      </c>
      <c r="T17" s="43">
        <v>5</v>
      </c>
      <c r="U17" s="43">
        <v>5</v>
      </c>
      <c r="V17" s="43">
        <v>2</v>
      </c>
      <c r="W17" s="43">
        <v>2</v>
      </c>
      <c r="X17" s="43">
        <v>3</v>
      </c>
      <c r="Y17" s="43">
        <v>3</v>
      </c>
      <c r="Z17" s="43">
        <v>5</v>
      </c>
      <c r="AA17" s="43">
        <v>5</v>
      </c>
      <c r="AB17" s="43">
        <v>5</v>
      </c>
      <c r="AC17" s="43">
        <v>5</v>
      </c>
      <c r="AD17" s="43">
        <v>5</v>
      </c>
      <c r="AE17" s="43">
        <v>5</v>
      </c>
      <c r="AF17" s="43">
        <v>5</v>
      </c>
      <c r="AG17" s="43"/>
      <c r="AH17" s="43"/>
      <c r="AI17" s="43">
        <v>5</v>
      </c>
      <c r="AJ17" s="43">
        <v>5</v>
      </c>
      <c r="AK17" s="43">
        <v>40</v>
      </c>
      <c r="AL17" s="43" t="s">
        <v>49</v>
      </c>
      <c r="AM17" s="43">
        <v>2.5</v>
      </c>
      <c r="AN17" s="43" t="s">
        <v>50</v>
      </c>
      <c r="AO17" s="43"/>
      <c r="AP17" s="43" t="s">
        <v>51</v>
      </c>
      <c r="AR17" s="22">
        <f t="shared" si="0"/>
        <v>4.4000000000000004</v>
      </c>
      <c r="AS17" s="22">
        <f t="shared" si="1"/>
        <v>5</v>
      </c>
      <c r="AT17" s="22" t="s">
        <v>52</v>
      </c>
      <c r="AU17" s="22" t="str">
        <f t="shared" si="2"/>
        <v>High</v>
      </c>
      <c r="AV17" s="22" t="str">
        <f t="shared" si="3"/>
        <v>High</v>
      </c>
    </row>
    <row r="18" spans="1:48" x14ac:dyDescent="0.2">
      <c r="A18" s="42">
        <v>3</v>
      </c>
      <c r="B18" s="43">
        <v>1</v>
      </c>
      <c r="C18" s="43">
        <v>2</v>
      </c>
      <c r="D18" s="43">
        <v>7</v>
      </c>
      <c r="E18" s="43">
        <v>1</v>
      </c>
      <c r="F18" s="43">
        <v>3</v>
      </c>
      <c r="G18" s="43">
        <v>1</v>
      </c>
      <c r="H18" s="43">
        <v>4</v>
      </c>
      <c r="I18" s="43">
        <v>3</v>
      </c>
      <c r="J18" s="43">
        <v>3</v>
      </c>
      <c r="K18" s="43">
        <v>3</v>
      </c>
      <c r="L18" s="43">
        <v>2</v>
      </c>
      <c r="M18" s="43">
        <v>4</v>
      </c>
      <c r="N18" s="43">
        <v>3</v>
      </c>
      <c r="O18" s="43">
        <v>4</v>
      </c>
      <c r="P18" s="43">
        <v>4</v>
      </c>
      <c r="Q18" s="43">
        <v>4</v>
      </c>
      <c r="R18" s="43">
        <v>3</v>
      </c>
      <c r="S18" s="43">
        <v>3</v>
      </c>
      <c r="T18" s="43">
        <v>4</v>
      </c>
      <c r="U18" s="43">
        <v>3</v>
      </c>
      <c r="V18" s="43">
        <v>2</v>
      </c>
      <c r="W18" s="43">
        <v>3</v>
      </c>
      <c r="X18" s="43">
        <v>2</v>
      </c>
      <c r="Y18" s="43">
        <v>3</v>
      </c>
      <c r="Z18" s="43">
        <v>4</v>
      </c>
      <c r="AA18" s="43">
        <v>4</v>
      </c>
      <c r="AB18" s="43">
        <v>4</v>
      </c>
      <c r="AC18" s="43">
        <v>4</v>
      </c>
      <c r="AD18" s="43">
        <v>4</v>
      </c>
      <c r="AE18" s="43">
        <v>4</v>
      </c>
      <c r="AF18" s="43">
        <v>4</v>
      </c>
      <c r="AG18" s="43"/>
      <c r="AH18" s="43"/>
      <c r="AI18" s="43">
        <v>4</v>
      </c>
      <c r="AJ18" s="43">
        <v>4</v>
      </c>
      <c r="AK18" s="43">
        <v>32</v>
      </c>
      <c r="AL18" s="43" t="s">
        <v>49</v>
      </c>
      <c r="AM18" s="43">
        <v>2.5</v>
      </c>
      <c r="AN18" s="43" t="s">
        <v>50</v>
      </c>
      <c r="AO18" s="43"/>
      <c r="AP18" s="43" t="s">
        <v>54</v>
      </c>
      <c r="AR18" s="22">
        <f t="shared" si="0"/>
        <v>3.6</v>
      </c>
      <c r="AS18" s="22">
        <f t="shared" si="1"/>
        <v>3.4</v>
      </c>
      <c r="AT18" s="22" t="s">
        <v>55</v>
      </c>
      <c r="AU18" s="22" t="str">
        <f t="shared" si="2"/>
        <v>Low</v>
      </c>
      <c r="AV18" s="22" t="str">
        <f t="shared" si="3"/>
        <v>Low</v>
      </c>
    </row>
    <row r="19" spans="1:48" x14ac:dyDescent="0.2">
      <c r="A19" s="42">
        <v>2</v>
      </c>
      <c r="B19" s="43">
        <v>1</v>
      </c>
      <c r="C19" s="43">
        <v>2</v>
      </c>
      <c r="D19" s="43">
        <v>4</v>
      </c>
      <c r="E19" s="43">
        <v>4</v>
      </c>
      <c r="F19" s="43">
        <v>3</v>
      </c>
      <c r="G19" s="43">
        <v>1</v>
      </c>
      <c r="H19" s="43">
        <v>2</v>
      </c>
      <c r="I19" s="43">
        <v>4</v>
      </c>
      <c r="J19" s="43">
        <v>3</v>
      </c>
      <c r="K19" s="43">
        <v>3</v>
      </c>
      <c r="L19" s="43">
        <v>2</v>
      </c>
      <c r="M19" s="43">
        <v>4</v>
      </c>
      <c r="N19" s="43">
        <v>4</v>
      </c>
      <c r="O19" s="43">
        <v>4</v>
      </c>
      <c r="P19" s="43">
        <v>4</v>
      </c>
      <c r="Q19" s="43">
        <v>3</v>
      </c>
      <c r="R19" s="43">
        <v>3</v>
      </c>
      <c r="S19" s="43">
        <v>2</v>
      </c>
      <c r="T19" s="43">
        <v>5</v>
      </c>
      <c r="U19" s="43">
        <v>4</v>
      </c>
      <c r="V19" s="43">
        <v>2</v>
      </c>
      <c r="W19" s="43">
        <v>2</v>
      </c>
      <c r="X19" s="43">
        <v>1</v>
      </c>
      <c r="Y19" s="43">
        <v>4</v>
      </c>
      <c r="Z19" s="43">
        <v>4</v>
      </c>
      <c r="AA19" s="43">
        <v>4</v>
      </c>
      <c r="AB19" s="43">
        <v>3</v>
      </c>
      <c r="AC19" s="43">
        <v>4</v>
      </c>
      <c r="AD19" s="43">
        <v>3</v>
      </c>
      <c r="AE19" s="43">
        <v>4</v>
      </c>
      <c r="AF19" s="43">
        <v>4</v>
      </c>
      <c r="AG19" s="43"/>
      <c r="AH19" s="43"/>
      <c r="AI19" s="43">
        <v>4</v>
      </c>
      <c r="AJ19" s="43">
        <v>3.75</v>
      </c>
      <c r="AK19" s="43">
        <v>30</v>
      </c>
      <c r="AL19" s="43" t="s">
        <v>53</v>
      </c>
      <c r="AM19" s="43">
        <v>2.25</v>
      </c>
      <c r="AN19" s="43" t="s">
        <v>50</v>
      </c>
      <c r="AO19" s="43"/>
      <c r="AP19" s="43" t="s">
        <v>51</v>
      </c>
      <c r="AR19" s="22">
        <f t="shared" si="0"/>
        <v>3.8</v>
      </c>
      <c r="AS19" s="22">
        <f t="shared" si="1"/>
        <v>3.8</v>
      </c>
      <c r="AT19" s="22" t="s">
        <v>52</v>
      </c>
      <c r="AU19" s="22" t="str">
        <f t="shared" si="2"/>
        <v>Low</v>
      </c>
      <c r="AV19" s="22" t="str">
        <f t="shared" si="3"/>
        <v>Low</v>
      </c>
    </row>
    <row r="20" spans="1:48" x14ac:dyDescent="0.2">
      <c r="A20" s="42">
        <v>2</v>
      </c>
      <c r="B20" s="43">
        <v>1</v>
      </c>
      <c r="C20" s="43">
        <v>1</v>
      </c>
      <c r="D20" s="43">
        <v>8</v>
      </c>
      <c r="E20" s="43">
        <v>5</v>
      </c>
      <c r="F20" s="43">
        <v>2</v>
      </c>
      <c r="G20" s="43">
        <v>5</v>
      </c>
      <c r="H20" s="43">
        <v>3</v>
      </c>
      <c r="I20" s="43">
        <v>3</v>
      </c>
      <c r="J20" s="43">
        <v>3</v>
      </c>
      <c r="K20" s="43">
        <v>3</v>
      </c>
      <c r="L20" s="43">
        <v>2</v>
      </c>
      <c r="M20" s="43">
        <v>4</v>
      </c>
      <c r="N20" s="43">
        <v>5</v>
      </c>
      <c r="O20" s="43">
        <v>4</v>
      </c>
      <c r="P20" s="43">
        <v>5</v>
      </c>
      <c r="Q20" s="43">
        <v>4</v>
      </c>
      <c r="R20" s="43">
        <v>2</v>
      </c>
      <c r="S20" s="43">
        <v>2</v>
      </c>
      <c r="T20" s="43">
        <v>3</v>
      </c>
      <c r="U20" s="43">
        <v>3</v>
      </c>
      <c r="V20" s="43">
        <v>4</v>
      </c>
      <c r="W20" s="43">
        <v>4</v>
      </c>
      <c r="X20" s="43">
        <v>4</v>
      </c>
      <c r="Y20" s="43">
        <v>4</v>
      </c>
      <c r="Z20" s="43">
        <v>4</v>
      </c>
      <c r="AA20" s="43">
        <v>4</v>
      </c>
      <c r="AB20" s="43">
        <v>4</v>
      </c>
      <c r="AC20" s="43">
        <v>4</v>
      </c>
      <c r="AD20" s="43">
        <v>4</v>
      </c>
      <c r="AE20" s="43">
        <v>4</v>
      </c>
      <c r="AF20" s="43">
        <v>4</v>
      </c>
      <c r="AG20" s="43"/>
      <c r="AH20" s="43"/>
      <c r="AI20" s="43">
        <v>5</v>
      </c>
      <c r="AJ20" s="43">
        <v>4.125</v>
      </c>
      <c r="AK20" s="43">
        <v>33</v>
      </c>
      <c r="AL20" s="43" t="s">
        <v>49</v>
      </c>
      <c r="AM20" s="43">
        <v>4</v>
      </c>
      <c r="AN20" s="43" t="s">
        <v>56</v>
      </c>
      <c r="AO20" s="43"/>
      <c r="AP20" s="43" t="s">
        <v>51</v>
      </c>
      <c r="AR20" s="22">
        <f t="shared" si="0"/>
        <v>4.2</v>
      </c>
      <c r="AS20" s="22">
        <f t="shared" si="1"/>
        <v>3.6</v>
      </c>
      <c r="AT20" s="22" t="s">
        <v>52</v>
      </c>
      <c r="AU20" s="22" t="str">
        <f t="shared" si="2"/>
        <v>High</v>
      </c>
      <c r="AV20" s="22" t="str">
        <f t="shared" si="3"/>
        <v>Low</v>
      </c>
    </row>
    <row r="21" spans="1:48" x14ac:dyDescent="0.2">
      <c r="A21" s="42">
        <v>2</v>
      </c>
      <c r="B21" s="43">
        <v>1</v>
      </c>
      <c r="C21" s="43">
        <v>1</v>
      </c>
      <c r="D21" s="43">
        <v>9</v>
      </c>
      <c r="E21" s="43">
        <v>5</v>
      </c>
      <c r="F21" s="43">
        <v>4</v>
      </c>
      <c r="G21" s="43">
        <v>2</v>
      </c>
      <c r="H21" s="43"/>
      <c r="I21" s="43">
        <v>4</v>
      </c>
      <c r="J21" s="43">
        <v>3</v>
      </c>
      <c r="K21" s="43">
        <v>3</v>
      </c>
      <c r="L21" s="43">
        <v>3</v>
      </c>
      <c r="M21" s="43">
        <v>3</v>
      </c>
      <c r="N21" s="43">
        <v>4</v>
      </c>
      <c r="O21" s="43">
        <v>4</v>
      </c>
      <c r="P21" s="43">
        <v>4</v>
      </c>
      <c r="Q21" s="43">
        <v>4</v>
      </c>
      <c r="R21" s="43">
        <v>2</v>
      </c>
      <c r="S21" s="43">
        <v>2</v>
      </c>
      <c r="T21" s="43">
        <v>4</v>
      </c>
      <c r="U21" s="43">
        <v>4</v>
      </c>
      <c r="V21" s="43">
        <v>5</v>
      </c>
      <c r="W21" s="43">
        <v>3</v>
      </c>
      <c r="X21" s="43">
        <v>5</v>
      </c>
      <c r="Y21" s="43">
        <v>5</v>
      </c>
      <c r="Z21" s="43">
        <v>4</v>
      </c>
      <c r="AA21" s="43">
        <v>4</v>
      </c>
      <c r="AB21" s="43">
        <v>4</v>
      </c>
      <c r="AC21" s="43">
        <v>4</v>
      </c>
      <c r="AD21" s="43">
        <v>4</v>
      </c>
      <c r="AE21" s="43">
        <v>4</v>
      </c>
      <c r="AF21" s="43">
        <v>4</v>
      </c>
      <c r="AG21" s="43"/>
      <c r="AH21" s="43"/>
      <c r="AI21" s="43">
        <v>4</v>
      </c>
      <c r="AJ21" s="43">
        <v>4</v>
      </c>
      <c r="AK21" s="43">
        <v>32</v>
      </c>
      <c r="AL21" s="43" t="s">
        <v>49</v>
      </c>
      <c r="AM21" s="43">
        <v>4.5</v>
      </c>
      <c r="AN21" s="43" t="s">
        <v>56</v>
      </c>
      <c r="AO21" s="43"/>
      <c r="AP21" s="43" t="s">
        <v>51</v>
      </c>
      <c r="AR21" s="22">
        <f t="shared" si="0"/>
        <v>3.6</v>
      </c>
      <c r="AS21" s="22">
        <f t="shared" si="1"/>
        <v>4</v>
      </c>
      <c r="AT21" s="22" t="s">
        <v>52</v>
      </c>
      <c r="AU21" s="22" t="str">
        <f t="shared" si="2"/>
        <v>Low</v>
      </c>
      <c r="AV21" s="22" t="str">
        <f t="shared" si="3"/>
        <v>High</v>
      </c>
    </row>
    <row r="22" spans="1:48" x14ac:dyDescent="0.2">
      <c r="A22" s="42">
        <v>2</v>
      </c>
      <c r="B22" s="43">
        <v>1</v>
      </c>
      <c r="C22" s="43">
        <v>2</v>
      </c>
      <c r="D22" s="43">
        <v>10</v>
      </c>
      <c r="E22" s="43">
        <v>5</v>
      </c>
      <c r="F22" s="43">
        <v>3</v>
      </c>
      <c r="G22" s="43">
        <v>2</v>
      </c>
      <c r="H22" s="43">
        <v>3</v>
      </c>
      <c r="I22" s="43">
        <v>5</v>
      </c>
      <c r="J22" s="43">
        <v>5</v>
      </c>
      <c r="K22" s="43">
        <v>1</v>
      </c>
      <c r="L22" s="43">
        <v>1</v>
      </c>
      <c r="M22" s="43">
        <v>5</v>
      </c>
      <c r="N22" s="43">
        <v>1</v>
      </c>
      <c r="O22" s="43">
        <v>1</v>
      </c>
      <c r="P22" s="43">
        <v>1</v>
      </c>
      <c r="Q22" s="43">
        <v>4</v>
      </c>
      <c r="R22" s="43">
        <v>3</v>
      </c>
      <c r="S22" s="43">
        <v>3</v>
      </c>
      <c r="T22" s="43">
        <v>1</v>
      </c>
      <c r="U22" s="43">
        <v>1</v>
      </c>
      <c r="V22" s="43">
        <v>4</v>
      </c>
      <c r="W22" s="43">
        <v>4</v>
      </c>
      <c r="X22" s="43">
        <v>3</v>
      </c>
      <c r="Y22" s="43">
        <v>5</v>
      </c>
      <c r="Z22" s="43">
        <v>4</v>
      </c>
      <c r="AA22" s="43">
        <v>4</v>
      </c>
      <c r="AB22" s="43">
        <v>4</v>
      </c>
      <c r="AC22" s="43">
        <v>4</v>
      </c>
      <c r="AD22" s="43">
        <v>4</v>
      </c>
      <c r="AE22" s="43">
        <v>4</v>
      </c>
      <c r="AF22" s="43">
        <v>4</v>
      </c>
      <c r="AG22" s="43"/>
      <c r="AH22" s="43"/>
      <c r="AI22" s="43">
        <v>2</v>
      </c>
      <c r="AJ22" s="43">
        <v>3.75</v>
      </c>
      <c r="AK22" s="43">
        <v>30</v>
      </c>
      <c r="AL22" s="43" t="s">
        <v>53</v>
      </c>
      <c r="AM22" s="43">
        <v>4</v>
      </c>
      <c r="AN22" s="43" t="s">
        <v>56</v>
      </c>
      <c r="AO22" s="43"/>
      <c r="AP22" s="43" t="s">
        <v>51</v>
      </c>
      <c r="AR22" s="22">
        <f t="shared" si="0"/>
        <v>1.8</v>
      </c>
      <c r="AS22" s="22">
        <f t="shared" si="1"/>
        <v>2.4</v>
      </c>
      <c r="AT22" s="22" t="s">
        <v>52</v>
      </c>
      <c r="AU22" s="22" t="str">
        <f t="shared" si="2"/>
        <v>Low</v>
      </c>
      <c r="AV22" s="22" t="str">
        <f t="shared" si="3"/>
        <v>Low</v>
      </c>
    </row>
    <row r="23" spans="1:48" x14ac:dyDescent="0.2">
      <c r="A23" s="42">
        <v>2</v>
      </c>
      <c r="B23" s="43">
        <v>2</v>
      </c>
      <c r="C23" s="43">
        <v>1</v>
      </c>
      <c r="D23" s="43">
        <v>5</v>
      </c>
      <c r="E23" s="43">
        <v>4</v>
      </c>
      <c r="F23" s="43">
        <v>2</v>
      </c>
      <c r="G23" s="43">
        <v>5</v>
      </c>
      <c r="H23" s="43">
        <v>2</v>
      </c>
      <c r="I23" s="43">
        <v>4</v>
      </c>
      <c r="J23" s="43">
        <v>4</v>
      </c>
      <c r="K23" s="43">
        <v>2</v>
      </c>
      <c r="L23" s="43">
        <v>5</v>
      </c>
      <c r="M23" s="43">
        <v>1</v>
      </c>
      <c r="N23" s="43">
        <v>4</v>
      </c>
      <c r="O23" s="43">
        <v>5</v>
      </c>
      <c r="P23" s="43">
        <v>4</v>
      </c>
      <c r="Q23" s="43">
        <v>4</v>
      </c>
      <c r="R23" s="43">
        <v>5</v>
      </c>
      <c r="S23" s="43">
        <v>4</v>
      </c>
      <c r="T23" s="43">
        <v>3</v>
      </c>
      <c r="U23" s="43">
        <v>4</v>
      </c>
      <c r="V23" s="43">
        <v>1</v>
      </c>
      <c r="W23" s="43">
        <v>1</v>
      </c>
      <c r="X23" s="43">
        <v>1</v>
      </c>
      <c r="Y23" s="43">
        <v>2</v>
      </c>
      <c r="Z23" s="43">
        <v>4</v>
      </c>
      <c r="AA23" s="43">
        <v>4</v>
      </c>
      <c r="AB23" s="43">
        <v>4</v>
      </c>
      <c r="AC23" s="43">
        <v>4</v>
      </c>
      <c r="AD23" s="43">
        <v>4</v>
      </c>
      <c r="AE23" s="43">
        <v>4</v>
      </c>
      <c r="AF23" s="43">
        <v>4</v>
      </c>
      <c r="AG23" s="43"/>
      <c r="AH23" s="43"/>
      <c r="AI23" s="43">
        <v>4</v>
      </c>
      <c r="AJ23" s="43">
        <v>4</v>
      </c>
      <c r="AK23" s="43">
        <v>32</v>
      </c>
      <c r="AL23" s="43" t="s">
        <v>49</v>
      </c>
      <c r="AM23" s="43">
        <v>1.25</v>
      </c>
      <c r="AN23" s="43" t="s">
        <v>50</v>
      </c>
      <c r="AO23" s="43"/>
      <c r="AP23" s="43" t="s">
        <v>51</v>
      </c>
      <c r="AR23" s="22">
        <f t="shared" si="0"/>
        <v>3.2</v>
      </c>
      <c r="AS23" s="22">
        <f t="shared" si="1"/>
        <v>2.8</v>
      </c>
      <c r="AT23" s="22" t="s">
        <v>52</v>
      </c>
      <c r="AU23" s="22" t="str">
        <f t="shared" si="2"/>
        <v>Low</v>
      </c>
      <c r="AV23" s="22" t="str">
        <f t="shared" si="3"/>
        <v>Low</v>
      </c>
    </row>
    <row r="24" spans="1:48" x14ac:dyDescent="0.2">
      <c r="A24" s="42">
        <v>3</v>
      </c>
      <c r="B24" s="43">
        <v>1</v>
      </c>
      <c r="C24" s="43">
        <v>1</v>
      </c>
      <c r="D24" s="43">
        <v>1</v>
      </c>
      <c r="E24" s="43">
        <v>1</v>
      </c>
      <c r="F24" s="43">
        <v>2</v>
      </c>
      <c r="G24" s="43">
        <v>1</v>
      </c>
      <c r="H24" s="43">
        <v>5</v>
      </c>
      <c r="I24" s="43">
        <v>1</v>
      </c>
      <c r="J24" s="43">
        <v>4</v>
      </c>
      <c r="K24" s="43">
        <v>2</v>
      </c>
      <c r="L24" s="43">
        <v>2</v>
      </c>
      <c r="M24" s="43">
        <v>4</v>
      </c>
      <c r="N24" s="43">
        <v>4</v>
      </c>
      <c r="O24" s="43">
        <v>4</v>
      </c>
      <c r="P24" s="43">
        <v>5</v>
      </c>
      <c r="Q24" s="43">
        <v>4</v>
      </c>
      <c r="R24" s="43">
        <v>2</v>
      </c>
      <c r="S24" s="43">
        <v>2</v>
      </c>
      <c r="T24" s="43">
        <v>4</v>
      </c>
      <c r="U24" s="43">
        <v>4</v>
      </c>
      <c r="V24" s="43">
        <v>3</v>
      </c>
      <c r="W24" s="43">
        <v>3</v>
      </c>
      <c r="X24" s="43">
        <v>2</v>
      </c>
      <c r="Y24" s="43">
        <v>4</v>
      </c>
      <c r="Z24" s="43">
        <v>4</v>
      </c>
      <c r="AA24" s="43">
        <v>4</v>
      </c>
      <c r="AB24" s="43">
        <v>4</v>
      </c>
      <c r="AC24" s="43">
        <v>4</v>
      </c>
      <c r="AD24" s="43">
        <v>4</v>
      </c>
      <c r="AE24" s="43">
        <v>5</v>
      </c>
      <c r="AF24" s="43">
        <v>4</v>
      </c>
      <c r="AG24" s="43"/>
      <c r="AH24" s="43"/>
      <c r="AI24" s="43">
        <v>4</v>
      </c>
      <c r="AJ24" s="43">
        <v>4.125</v>
      </c>
      <c r="AK24" s="43">
        <v>33</v>
      </c>
      <c r="AL24" s="43" t="s">
        <v>49</v>
      </c>
      <c r="AM24" s="43">
        <v>3</v>
      </c>
      <c r="AN24" s="43" t="s">
        <v>50</v>
      </c>
      <c r="AO24" s="43"/>
      <c r="AP24" s="43" t="s">
        <v>54</v>
      </c>
      <c r="AR24" s="22">
        <f t="shared" si="0"/>
        <v>3.8</v>
      </c>
      <c r="AS24" s="22">
        <f t="shared" si="1"/>
        <v>4</v>
      </c>
      <c r="AT24" s="22" t="s">
        <v>55</v>
      </c>
      <c r="AU24" s="22" t="str">
        <f t="shared" si="2"/>
        <v>Low</v>
      </c>
      <c r="AV24" s="22" t="str">
        <f t="shared" si="3"/>
        <v>High</v>
      </c>
    </row>
    <row r="25" spans="1:48" x14ac:dyDescent="0.2">
      <c r="A25" s="42">
        <v>2</v>
      </c>
      <c r="B25" s="43">
        <v>1</v>
      </c>
      <c r="C25" s="43">
        <v>1</v>
      </c>
      <c r="D25" s="43">
        <v>1</v>
      </c>
      <c r="E25" s="43">
        <v>1</v>
      </c>
      <c r="F25" s="43">
        <v>5</v>
      </c>
      <c r="G25" s="43">
        <v>1</v>
      </c>
      <c r="H25" s="43">
        <v>3</v>
      </c>
      <c r="I25" s="43">
        <v>3</v>
      </c>
      <c r="J25" s="43">
        <v>4</v>
      </c>
      <c r="K25" s="43">
        <v>2</v>
      </c>
      <c r="L25" s="43">
        <v>3</v>
      </c>
      <c r="M25" s="43">
        <v>3</v>
      </c>
      <c r="N25" s="43">
        <v>4</v>
      </c>
      <c r="O25" s="43">
        <v>4</v>
      </c>
      <c r="P25" s="43">
        <v>4</v>
      </c>
      <c r="Q25" s="43">
        <v>4</v>
      </c>
      <c r="R25" s="43">
        <v>3</v>
      </c>
      <c r="S25" s="43">
        <v>3</v>
      </c>
      <c r="T25" s="43">
        <v>3</v>
      </c>
      <c r="U25" s="43">
        <v>4</v>
      </c>
      <c r="V25" s="43">
        <v>1</v>
      </c>
      <c r="W25" s="43">
        <v>3</v>
      </c>
      <c r="X25" s="43">
        <v>1</v>
      </c>
      <c r="Y25" s="43">
        <v>2</v>
      </c>
      <c r="Z25" s="43">
        <v>3</v>
      </c>
      <c r="AA25" s="43">
        <v>3</v>
      </c>
      <c r="AB25" s="43">
        <v>3</v>
      </c>
      <c r="AC25" s="43">
        <v>4</v>
      </c>
      <c r="AD25" s="43">
        <v>3</v>
      </c>
      <c r="AE25" s="43">
        <v>3</v>
      </c>
      <c r="AF25" s="43">
        <v>3</v>
      </c>
      <c r="AG25" s="43"/>
      <c r="AH25" s="43"/>
      <c r="AI25" s="43">
        <v>3</v>
      </c>
      <c r="AJ25" s="43">
        <v>3.125</v>
      </c>
      <c r="AK25" s="43">
        <v>25</v>
      </c>
      <c r="AL25" s="43" t="s">
        <v>53</v>
      </c>
      <c r="AM25" s="43">
        <v>1.75</v>
      </c>
      <c r="AN25" s="43" t="s">
        <v>50</v>
      </c>
      <c r="AO25" s="43"/>
      <c r="AP25" s="43" t="s">
        <v>51</v>
      </c>
      <c r="AR25" s="22">
        <f t="shared" si="0"/>
        <v>3.4</v>
      </c>
      <c r="AS25" s="22">
        <f t="shared" si="1"/>
        <v>3.4</v>
      </c>
      <c r="AT25" s="22" t="s">
        <v>55</v>
      </c>
      <c r="AU25" s="22" t="str">
        <f t="shared" si="2"/>
        <v>Low</v>
      </c>
      <c r="AV25" s="22" t="str">
        <f t="shared" si="3"/>
        <v>Low</v>
      </c>
    </row>
    <row r="26" spans="1:48" x14ac:dyDescent="0.2">
      <c r="A26" s="42">
        <v>1</v>
      </c>
      <c r="B26" s="43">
        <v>1</v>
      </c>
      <c r="C26" s="43">
        <v>1</v>
      </c>
      <c r="D26" s="43">
        <v>9</v>
      </c>
      <c r="E26" s="43">
        <v>1</v>
      </c>
      <c r="F26" s="43">
        <v>1</v>
      </c>
      <c r="G26" s="43">
        <v>1</v>
      </c>
      <c r="H26" s="43">
        <v>5</v>
      </c>
      <c r="I26" s="43">
        <v>1</v>
      </c>
      <c r="J26" s="43">
        <v>1</v>
      </c>
      <c r="K26" s="43">
        <v>5</v>
      </c>
      <c r="L26" s="43">
        <v>1</v>
      </c>
      <c r="M26" s="43">
        <v>5</v>
      </c>
      <c r="N26" s="43">
        <v>5</v>
      </c>
      <c r="O26" s="43">
        <v>5</v>
      </c>
      <c r="P26" s="43">
        <v>5</v>
      </c>
      <c r="Q26" s="43">
        <v>5</v>
      </c>
      <c r="R26" s="43">
        <v>1</v>
      </c>
      <c r="S26" s="43">
        <v>1</v>
      </c>
      <c r="T26" s="43">
        <v>5</v>
      </c>
      <c r="U26" s="43">
        <v>3</v>
      </c>
      <c r="V26" s="43">
        <v>1</v>
      </c>
      <c r="W26" s="43">
        <v>1</v>
      </c>
      <c r="X26" s="43">
        <v>3</v>
      </c>
      <c r="Y26" s="43">
        <v>3</v>
      </c>
      <c r="Z26" s="43">
        <v>5</v>
      </c>
      <c r="AA26" s="43">
        <v>5</v>
      </c>
      <c r="AB26" s="43">
        <v>5</v>
      </c>
      <c r="AC26" s="43">
        <v>5</v>
      </c>
      <c r="AD26" s="43">
        <v>5</v>
      </c>
      <c r="AE26" s="43">
        <v>5</v>
      </c>
      <c r="AF26" s="43">
        <v>5</v>
      </c>
      <c r="AG26" s="43"/>
      <c r="AH26" s="43"/>
      <c r="AI26" s="43">
        <v>1</v>
      </c>
      <c r="AJ26" s="43">
        <v>4.5</v>
      </c>
      <c r="AK26" s="43">
        <v>36</v>
      </c>
      <c r="AL26" s="43" t="s">
        <v>49</v>
      </c>
      <c r="AM26" s="43">
        <v>2</v>
      </c>
      <c r="AN26" s="43" t="s">
        <v>50</v>
      </c>
      <c r="AO26" s="43"/>
      <c r="AP26" s="43" t="s">
        <v>54</v>
      </c>
      <c r="AR26" s="22">
        <f t="shared" si="0"/>
        <v>5</v>
      </c>
      <c r="AS26" s="22">
        <f t="shared" si="1"/>
        <v>4.5999999999999996</v>
      </c>
      <c r="AT26" s="22" t="s">
        <v>52</v>
      </c>
      <c r="AU26" s="22" t="str">
        <f t="shared" si="2"/>
        <v>High</v>
      </c>
      <c r="AV26" s="22" t="str">
        <f t="shared" si="3"/>
        <v>High</v>
      </c>
    </row>
    <row r="27" spans="1:48" x14ac:dyDescent="0.2">
      <c r="A27" s="42">
        <v>1</v>
      </c>
      <c r="B27" s="43">
        <v>3</v>
      </c>
      <c r="C27" s="43">
        <v>2</v>
      </c>
      <c r="D27" s="43">
        <v>1</v>
      </c>
      <c r="E27" s="43">
        <v>1</v>
      </c>
      <c r="F27" s="43">
        <v>5</v>
      </c>
      <c r="G27" s="43">
        <v>2</v>
      </c>
      <c r="H27" s="43">
        <v>5</v>
      </c>
      <c r="I27" s="43">
        <v>1</v>
      </c>
      <c r="J27" s="43">
        <v>1</v>
      </c>
      <c r="K27" s="43">
        <v>5</v>
      </c>
      <c r="L27" s="43">
        <v>1</v>
      </c>
      <c r="M27" s="43">
        <v>5</v>
      </c>
      <c r="N27" s="43">
        <v>5</v>
      </c>
      <c r="O27" s="43">
        <v>5</v>
      </c>
      <c r="P27" s="43">
        <v>5</v>
      </c>
      <c r="Q27" s="43">
        <v>5</v>
      </c>
      <c r="R27" s="43">
        <v>5</v>
      </c>
      <c r="S27" s="43">
        <v>5</v>
      </c>
      <c r="T27" s="43">
        <v>3</v>
      </c>
      <c r="U27" s="43">
        <v>3</v>
      </c>
      <c r="V27" s="43">
        <v>5</v>
      </c>
      <c r="W27" s="43">
        <v>5</v>
      </c>
      <c r="X27" s="43">
        <v>5</v>
      </c>
      <c r="Y27" s="43">
        <v>5</v>
      </c>
      <c r="Z27" s="43">
        <v>5</v>
      </c>
      <c r="AA27" s="43">
        <v>5</v>
      </c>
      <c r="AB27" s="43">
        <v>5</v>
      </c>
      <c r="AC27" s="43">
        <v>5</v>
      </c>
      <c r="AD27" s="43">
        <v>5</v>
      </c>
      <c r="AE27" s="43">
        <v>5</v>
      </c>
      <c r="AF27" s="43">
        <v>5</v>
      </c>
      <c r="AG27" s="43"/>
      <c r="AH27" s="43"/>
      <c r="AI27" s="43">
        <v>1</v>
      </c>
      <c r="AJ27" s="43">
        <v>4.5</v>
      </c>
      <c r="AK27" s="43">
        <v>36</v>
      </c>
      <c r="AL27" s="43" t="s">
        <v>49</v>
      </c>
      <c r="AM27" s="43">
        <v>5</v>
      </c>
      <c r="AN27" s="43" t="s">
        <v>56</v>
      </c>
      <c r="AO27" s="43"/>
      <c r="AP27" s="43" t="s">
        <v>54</v>
      </c>
      <c r="AR27" s="22">
        <f t="shared" si="0"/>
        <v>5</v>
      </c>
      <c r="AS27" s="22">
        <f t="shared" si="1"/>
        <v>2.6</v>
      </c>
      <c r="AT27" s="22" t="s">
        <v>55</v>
      </c>
      <c r="AU27" s="22" t="str">
        <f t="shared" si="2"/>
        <v>High</v>
      </c>
      <c r="AV27" s="22" t="str">
        <f t="shared" si="3"/>
        <v>Low</v>
      </c>
    </row>
    <row r="28" spans="1:48" x14ac:dyDescent="0.2">
      <c r="A28" s="42">
        <v>1</v>
      </c>
      <c r="B28" s="43">
        <v>1</v>
      </c>
      <c r="C28" s="43">
        <v>2</v>
      </c>
      <c r="D28" s="43">
        <v>3</v>
      </c>
      <c r="E28" s="43">
        <v>5</v>
      </c>
      <c r="F28" s="43">
        <v>3</v>
      </c>
      <c r="G28" s="43">
        <v>1</v>
      </c>
      <c r="H28" s="43">
        <v>1</v>
      </c>
      <c r="I28" s="43">
        <v>4</v>
      </c>
      <c r="J28" s="43">
        <v>5</v>
      </c>
      <c r="K28" s="43">
        <v>1</v>
      </c>
      <c r="L28" s="43">
        <v>5</v>
      </c>
      <c r="M28" s="43">
        <v>1</v>
      </c>
      <c r="N28" s="43">
        <v>2</v>
      </c>
      <c r="O28" s="43">
        <v>4</v>
      </c>
      <c r="P28" s="43">
        <v>4</v>
      </c>
      <c r="Q28" s="43">
        <v>4</v>
      </c>
      <c r="R28" s="43">
        <v>5</v>
      </c>
      <c r="S28" s="43">
        <v>5</v>
      </c>
      <c r="T28" s="43">
        <v>3</v>
      </c>
      <c r="U28" s="43">
        <v>4</v>
      </c>
      <c r="V28" s="43">
        <v>3</v>
      </c>
      <c r="W28" s="43">
        <v>4</v>
      </c>
      <c r="X28" s="43">
        <v>3</v>
      </c>
      <c r="Y28" s="43">
        <v>3</v>
      </c>
      <c r="Z28" s="43">
        <v>3</v>
      </c>
      <c r="AA28" s="43">
        <v>4</v>
      </c>
      <c r="AB28" s="43">
        <v>3</v>
      </c>
      <c r="AC28" s="43">
        <v>3</v>
      </c>
      <c r="AD28" s="43">
        <v>3</v>
      </c>
      <c r="AE28" s="43">
        <v>3</v>
      </c>
      <c r="AF28" s="43">
        <v>3</v>
      </c>
      <c r="AG28" s="43"/>
      <c r="AH28" s="43"/>
      <c r="AI28" s="43">
        <v>2</v>
      </c>
      <c r="AJ28" s="43">
        <v>3</v>
      </c>
      <c r="AK28" s="43">
        <v>24</v>
      </c>
      <c r="AL28" s="43" t="s">
        <v>53</v>
      </c>
      <c r="AM28" s="43">
        <v>3.25</v>
      </c>
      <c r="AN28" s="43" t="s">
        <v>50</v>
      </c>
      <c r="AO28" s="43"/>
      <c r="AP28" s="43" t="s">
        <v>51</v>
      </c>
      <c r="AR28" s="22">
        <f t="shared" si="0"/>
        <v>2.4</v>
      </c>
      <c r="AS28" s="22">
        <f t="shared" si="1"/>
        <v>2.6</v>
      </c>
      <c r="AT28" s="22" t="s">
        <v>52</v>
      </c>
      <c r="AU28" s="22" t="str">
        <f t="shared" si="2"/>
        <v>Low</v>
      </c>
      <c r="AV28" s="22" t="str">
        <f t="shared" si="3"/>
        <v>Low</v>
      </c>
    </row>
    <row r="29" spans="1:48" x14ac:dyDescent="0.2">
      <c r="A29" s="42">
        <v>1</v>
      </c>
      <c r="B29" s="43">
        <v>4</v>
      </c>
      <c r="C29" s="43">
        <v>1</v>
      </c>
      <c r="D29" s="43">
        <v>3</v>
      </c>
      <c r="E29" s="43">
        <v>5</v>
      </c>
      <c r="F29" s="43">
        <v>3</v>
      </c>
      <c r="G29" s="43">
        <v>2</v>
      </c>
      <c r="H29" s="43">
        <v>1</v>
      </c>
      <c r="I29" s="43">
        <v>5</v>
      </c>
      <c r="J29" s="43">
        <v>5</v>
      </c>
      <c r="K29" s="43">
        <v>1</v>
      </c>
      <c r="L29" s="43">
        <v>4</v>
      </c>
      <c r="M29" s="43">
        <v>2</v>
      </c>
      <c r="N29" s="43">
        <v>3</v>
      </c>
      <c r="O29" s="43">
        <v>4</v>
      </c>
      <c r="P29" s="43">
        <v>4</v>
      </c>
      <c r="Q29" s="43">
        <v>4</v>
      </c>
      <c r="R29" s="43">
        <v>4</v>
      </c>
      <c r="S29" s="43">
        <v>5</v>
      </c>
      <c r="T29" s="43">
        <v>4</v>
      </c>
      <c r="U29" s="43">
        <v>5</v>
      </c>
      <c r="V29" s="43">
        <v>3</v>
      </c>
      <c r="W29" s="43">
        <v>1</v>
      </c>
      <c r="X29" s="43">
        <v>2</v>
      </c>
      <c r="Y29" s="43">
        <v>3</v>
      </c>
      <c r="Z29" s="43">
        <v>4</v>
      </c>
      <c r="AA29" s="43">
        <v>4</v>
      </c>
      <c r="AB29" s="43">
        <v>3</v>
      </c>
      <c r="AC29" s="43">
        <v>3</v>
      </c>
      <c r="AD29" s="43">
        <v>3</v>
      </c>
      <c r="AE29" s="43">
        <v>4</v>
      </c>
      <c r="AF29" s="43">
        <v>3</v>
      </c>
      <c r="AG29" s="43"/>
      <c r="AH29" s="43"/>
      <c r="AI29" s="43">
        <v>3</v>
      </c>
      <c r="AJ29" s="43">
        <v>3.375</v>
      </c>
      <c r="AK29" s="43">
        <v>27</v>
      </c>
      <c r="AL29" s="43" t="s">
        <v>53</v>
      </c>
      <c r="AM29" s="43">
        <v>2.25</v>
      </c>
      <c r="AN29" s="43" t="s">
        <v>50</v>
      </c>
      <c r="AO29" s="43"/>
      <c r="AP29" s="43" t="s">
        <v>51</v>
      </c>
      <c r="AR29" s="22">
        <f t="shared" si="0"/>
        <v>2.8</v>
      </c>
      <c r="AS29" s="22">
        <f t="shared" si="1"/>
        <v>3.2</v>
      </c>
      <c r="AT29" s="22" t="s">
        <v>52</v>
      </c>
      <c r="AU29" s="22" t="str">
        <f t="shared" si="2"/>
        <v>Low</v>
      </c>
      <c r="AV29" s="22" t="str">
        <f t="shared" si="3"/>
        <v>Low</v>
      </c>
    </row>
    <row r="30" spans="1:48" x14ac:dyDescent="0.2">
      <c r="A30" s="42">
        <v>2</v>
      </c>
      <c r="B30" s="43">
        <v>1</v>
      </c>
      <c r="C30" s="43">
        <v>1</v>
      </c>
      <c r="D30" s="43">
        <v>3</v>
      </c>
      <c r="E30" s="43">
        <v>5</v>
      </c>
      <c r="F30" s="43">
        <v>6</v>
      </c>
      <c r="G30" s="43">
        <v>5</v>
      </c>
      <c r="H30" s="43">
        <v>1</v>
      </c>
      <c r="I30" s="43">
        <v>4</v>
      </c>
      <c r="J30" s="43">
        <v>4</v>
      </c>
      <c r="K30" s="43">
        <v>2</v>
      </c>
      <c r="L30" s="43">
        <v>2</v>
      </c>
      <c r="M30" s="43">
        <v>4</v>
      </c>
      <c r="N30" s="43">
        <v>4</v>
      </c>
      <c r="O30" s="43">
        <v>4</v>
      </c>
      <c r="P30" s="43">
        <v>4</v>
      </c>
      <c r="Q30" s="43">
        <v>4</v>
      </c>
      <c r="R30" s="43">
        <v>5</v>
      </c>
      <c r="S30" s="43">
        <v>1</v>
      </c>
      <c r="T30" s="43">
        <v>5</v>
      </c>
      <c r="U30" s="43">
        <v>2</v>
      </c>
      <c r="V30" s="43">
        <v>4</v>
      </c>
      <c r="W30" s="43">
        <v>4</v>
      </c>
      <c r="X30" s="43">
        <v>3</v>
      </c>
      <c r="Y30" s="43">
        <v>2</v>
      </c>
      <c r="Z30" s="43">
        <v>4</v>
      </c>
      <c r="AA30" s="43">
        <v>5</v>
      </c>
      <c r="AB30" s="43">
        <v>4</v>
      </c>
      <c r="AC30" s="43">
        <v>3</v>
      </c>
      <c r="AD30" s="43">
        <v>3</v>
      </c>
      <c r="AE30" s="43">
        <v>4</v>
      </c>
      <c r="AF30" s="43">
        <v>3</v>
      </c>
      <c r="AG30" s="43"/>
      <c r="AH30" s="43"/>
      <c r="AI30" s="43">
        <v>2</v>
      </c>
      <c r="AJ30" s="43">
        <v>3.5</v>
      </c>
      <c r="AK30" s="43">
        <v>28</v>
      </c>
      <c r="AL30" s="43" t="s">
        <v>53</v>
      </c>
      <c r="AM30" s="43">
        <v>3.25</v>
      </c>
      <c r="AN30" s="43" t="s">
        <v>50</v>
      </c>
      <c r="AO30" s="43"/>
      <c r="AP30" s="43" t="s">
        <v>51</v>
      </c>
      <c r="AR30" s="22">
        <f t="shared" si="0"/>
        <v>3.6</v>
      </c>
      <c r="AS30" s="22">
        <f t="shared" si="1"/>
        <v>3.4</v>
      </c>
      <c r="AT30" s="22" t="s">
        <v>52</v>
      </c>
      <c r="AU30" s="22" t="str">
        <f t="shared" si="2"/>
        <v>Low</v>
      </c>
      <c r="AV30" s="22" t="str">
        <f t="shared" si="3"/>
        <v>Low</v>
      </c>
    </row>
    <row r="31" spans="1:48" x14ac:dyDescent="0.2">
      <c r="A31" s="42">
        <v>2</v>
      </c>
      <c r="B31" s="43">
        <v>1</v>
      </c>
      <c r="C31" s="43">
        <v>2</v>
      </c>
      <c r="D31" s="43">
        <v>3</v>
      </c>
      <c r="E31" s="43">
        <v>5</v>
      </c>
      <c r="F31" s="43">
        <v>3</v>
      </c>
      <c r="G31" s="43">
        <v>1</v>
      </c>
      <c r="H31" s="43">
        <v>2</v>
      </c>
      <c r="I31" s="43">
        <v>5</v>
      </c>
      <c r="J31" s="43">
        <v>4</v>
      </c>
      <c r="K31" s="43">
        <v>2</v>
      </c>
      <c r="L31" s="43">
        <v>4</v>
      </c>
      <c r="M31" s="43">
        <v>2</v>
      </c>
      <c r="N31" s="43">
        <v>3</v>
      </c>
      <c r="O31" s="43">
        <v>3</v>
      </c>
      <c r="P31" s="43">
        <v>4</v>
      </c>
      <c r="Q31" s="43">
        <v>4</v>
      </c>
      <c r="R31" s="43">
        <v>4</v>
      </c>
      <c r="S31" s="43">
        <v>4</v>
      </c>
      <c r="T31" s="43">
        <v>3</v>
      </c>
      <c r="U31" s="43">
        <v>4</v>
      </c>
      <c r="V31" s="43">
        <v>3</v>
      </c>
      <c r="W31" s="43">
        <v>3</v>
      </c>
      <c r="X31" s="43">
        <v>2</v>
      </c>
      <c r="Y31" s="43">
        <v>3</v>
      </c>
      <c r="Z31" s="43">
        <v>4</v>
      </c>
      <c r="AA31" s="43">
        <v>4</v>
      </c>
      <c r="AB31" s="43">
        <v>3</v>
      </c>
      <c r="AC31" s="43">
        <v>4</v>
      </c>
      <c r="AD31" s="43">
        <v>3</v>
      </c>
      <c r="AE31" s="43">
        <v>3</v>
      </c>
      <c r="AF31" s="43">
        <v>3</v>
      </c>
      <c r="AG31" s="43"/>
      <c r="AH31" s="43"/>
      <c r="AI31" s="43">
        <v>3</v>
      </c>
      <c r="AJ31" s="43">
        <v>3.375</v>
      </c>
      <c r="AK31" s="43">
        <v>27</v>
      </c>
      <c r="AL31" s="43" t="s">
        <v>53</v>
      </c>
      <c r="AM31" s="43">
        <v>2.75</v>
      </c>
      <c r="AN31" s="43" t="s">
        <v>50</v>
      </c>
      <c r="AO31" s="43"/>
      <c r="AP31" s="43" t="s">
        <v>51</v>
      </c>
      <c r="AR31" s="22">
        <f t="shared" si="0"/>
        <v>2.8</v>
      </c>
      <c r="AS31" s="22">
        <f t="shared" si="1"/>
        <v>3</v>
      </c>
      <c r="AT31" s="22" t="s">
        <v>52</v>
      </c>
      <c r="AU31" s="22" t="str">
        <f t="shared" si="2"/>
        <v>Low</v>
      </c>
      <c r="AV31" s="22" t="str">
        <f t="shared" si="3"/>
        <v>Low</v>
      </c>
    </row>
    <row r="32" spans="1:48" x14ac:dyDescent="0.2">
      <c r="A32" s="42">
        <v>1</v>
      </c>
      <c r="B32" s="43">
        <v>4</v>
      </c>
      <c r="C32" s="43">
        <v>1</v>
      </c>
      <c r="D32" s="43">
        <v>3</v>
      </c>
      <c r="E32" s="43">
        <v>5</v>
      </c>
      <c r="F32" s="43">
        <v>3</v>
      </c>
      <c r="G32" s="43">
        <v>2</v>
      </c>
      <c r="H32" s="43">
        <v>2</v>
      </c>
      <c r="I32" s="43">
        <v>4</v>
      </c>
      <c r="J32" s="43">
        <v>4</v>
      </c>
      <c r="K32" s="43">
        <v>2</v>
      </c>
      <c r="L32" s="43">
        <v>2</v>
      </c>
      <c r="M32" s="43">
        <v>4</v>
      </c>
      <c r="N32" s="43">
        <v>3</v>
      </c>
      <c r="O32" s="43">
        <v>3</v>
      </c>
      <c r="P32" s="43">
        <v>3</v>
      </c>
      <c r="Q32" s="43">
        <v>4</v>
      </c>
      <c r="R32" s="43">
        <v>1</v>
      </c>
      <c r="S32" s="43">
        <v>1</v>
      </c>
      <c r="T32" s="43">
        <v>4</v>
      </c>
      <c r="U32" s="43">
        <v>4</v>
      </c>
      <c r="V32" s="43">
        <v>2</v>
      </c>
      <c r="W32" s="43">
        <v>2</v>
      </c>
      <c r="X32" s="43">
        <v>4</v>
      </c>
      <c r="Y32" s="43">
        <v>4</v>
      </c>
      <c r="Z32" s="43">
        <v>4</v>
      </c>
      <c r="AA32" s="43">
        <v>4</v>
      </c>
      <c r="AB32" s="43">
        <v>4</v>
      </c>
      <c r="AC32" s="43">
        <v>4</v>
      </c>
      <c r="AD32" s="43">
        <v>4</v>
      </c>
      <c r="AE32" s="43">
        <v>4</v>
      </c>
      <c r="AF32" s="43">
        <v>4</v>
      </c>
      <c r="AG32" s="43"/>
      <c r="AH32" s="43"/>
      <c r="AI32" s="43">
        <v>5</v>
      </c>
      <c r="AJ32" s="43">
        <v>4.125</v>
      </c>
      <c r="AK32" s="43">
        <v>33</v>
      </c>
      <c r="AL32" s="43" t="s">
        <v>49</v>
      </c>
      <c r="AM32" s="43">
        <v>3</v>
      </c>
      <c r="AN32" s="43" t="s">
        <v>50</v>
      </c>
      <c r="AO32" s="43"/>
      <c r="AP32" s="43" t="s">
        <v>51</v>
      </c>
      <c r="AR32" s="22">
        <f t="shared" si="0"/>
        <v>3</v>
      </c>
      <c r="AS32" s="22">
        <f t="shared" si="1"/>
        <v>4.4000000000000004</v>
      </c>
      <c r="AT32" s="22" t="s">
        <v>52</v>
      </c>
      <c r="AU32" s="22" t="str">
        <f t="shared" si="2"/>
        <v>Low</v>
      </c>
      <c r="AV32" s="22" t="str">
        <f t="shared" si="3"/>
        <v>High</v>
      </c>
    </row>
    <row r="33" spans="1:48" x14ac:dyDescent="0.2">
      <c r="A33" s="42">
        <v>2</v>
      </c>
      <c r="B33" s="43">
        <v>1</v>
      </c>
      <c r="C33" s="43">
        <v>2</v>
      </c>
      <c r="D33" s="43">
        <v>3</v>
      </c>
      <c r="E33" s="43">
        <v>5</v>
      </c>
      <c r="F33" s="43">
        <v>4</v>
      </c>
      <c r="G33" s="43">
        <v>5</v>
      </c>
      <c r="H33" s="43">
        <v>1</v>
      </c>
      <c r="I33" s="43">
        <v>4</v>
      </c>
      <c r="J33" s="43">
        <v>5</v>
      </c>
      <c r="K33" s="43">
        <v>1</v>
      </c>
      <c r="L33" s="43">
        <v>2</v>
      </c>
      <c r="M33" s="43">
        <v>4</v>
      </c>
      <c r="N33" s="43">
        <v>5</v>
      </c>
      <c r="O33" s="43">
        <v>4</v>
      </c>
      <c r="P33" s="43">
        <v>5</v>
      </c>
      <c r="Q33" s="43">
        <v>4</v>
      </c>
      <c r="R33" s="43">
        <v>5</v>
      </c>
      <c r="S33" s="43">
        <v>4</v>
      </c>
      <c r="T33" s="43">
        <v>4</v>
      </c>
      <c r="U33" s="43">
        <v>3</v>
      </c>
      <c r="V33" s="43">
        <v>2</v>
      </c>
      <c r="W33" s="43">
        <v>2</v>
      </c>
      <c r="X33" s="43">
        <v>3</v>
      </c>
      <c r="Y33" s="43">
        <v>4</v>
      </c>
      <c r="Z33" s="43">
        <v>5</v>
      </c>
      <c r="AA33" s="43">
        <v>5</v>
      </c>
      <c r="AB33" s="43">
        <v>5</v>
      </c>
      <c r="AC33" s="43">
        <v>5</v>
      </c>
      <c r="AD33" s="43">
        <v>5</v>
      </c>
      <c r="AE33" s="43">
        <v>5</v>
      </c>
      <c r="AF33" s="43">
        <v>5</v>
      </c>
      <c r="AG33" s="43"/>
      <c r="AH33" s="43"/>
      <c r="AI33" s="43">
        <v>5</v>
      </c>
      <c r="AJ33" s="43">
        <v>5</v>
      </c>
      <c r="AK33" s="43">
        <v>40</v>
      </c>
      <c r="AL33" s="43" t="s">
        <v>49</v>
      </c>
      <c r="AM33" s="43">
        <v>2.75</v>
      </c>
      <c r="AN33" s="43" t="s">
        <v>50</v>
      </c>
      <c r="AO33" s="43"/>
      <c r="AP33" s="43" t="s">
        <v>51</v>
      </c>
      <c r="AR33" s="22">
        <f t="shared" si="0"/>
        <v>3.8</v>
      </c>
      <c r="AS33" s="22">
        <f t="shared" si="1"/>
        <v>2.8</v>
      </c>
      <c r="AT33" s="22" t="s">
        <v>52</v>
      </c>
      <c r="AU33" s="22" t="str">
        <f t="shared" si="2"/>
        <v>Low</v>
      </c>
      <c r="AV33" s="22" t="str">
        <f t="shared" si="3"/>
        <v>Low</v>
      </c>
    </row>
    <row r="34" spans="1:48" x14ac:dyDescent="0.2">
      <c r="A34" s="42">
        <v>1</v>
      </c>
      <c r="B34" s="43">
        <v>1</v>
      </c>
      <c r="C34" s="43">
        <v>2</v>
      </c>
      <c r="D34" s="43">
        <v>3</v>
      </c>
      <c r="E34" s="43">
        <v>5</v>
      </c>
      <c r="F34" s="43">
        <v>4</v>
      </c>
      <c r="G34" s="43">
        <v>2</v>
      </c>
      <c r="H34" s="43">
        <v>2</v>
      </c>
      <c r="I34" s="43">
        <v>5</v>
      </c>
      <c r="J34" s="43">
        <v>4</v>
      </c>
      <c r="K34" s="43">
        <v>2</v>
      </c>
      <c r="L34" s="43">
        <v>3</v>
      </c>
      <c r="M34" s="43">
        <v>3</v>
      </c>
      <c r="N34" s="43">
        <v>4</v>
      </c>
      <c r="O34" s="43">
        <v>5</v>
      </c>
      <c r="P34" s="43">
        <v>4</v>
      </c>
      <c r="Q34" s="43">
        <v>2</v>
      </c>
      <c r="R34" s="43">
        <v>5</v>
      </c>
      <c r="S34" s="43">
        <v>5</v>
      </c>
      <c r="T34" s="43">
        <v>3</v>
      </c>
      <c r="U34" s="43">
        <v>4</v>
      </c>
      <c r="V34" s="43">
        <v>2</v>
      </c>
      <c r="W34" s="43">
        <v>3</v>
      </c>
      <c r="X34" s="43">
        <v>3</v>
      </c>
      <c r="Y34" s="43">
        <v>4</v>
      </c>
      <c r="Z34" s="43">
        <v>2</v>
      </c>
      <c r="AA34" s="43">
        <v>2</v>
      </c>
      <c r="AB34" s="43">
        <v>2</v>
      </c>
      <c r="AC34" s="43">
        <v>2</v>
      </c>
      <c r="AD34" s="43">
        <v>2</v>
      </c>
      <c r="AE34" s="43">
        <v>2</v>
      </c>
      <c r="AF34" s="43">
        <v>2</v>
      </c>
      <c r="AG34" s="43"/>
      <c r="AH34" s="43"/>
      <c r="AI34" s="43">
        <v>1</v>
      </c>
      <c r="AJ34" s="43">
        <v>1.875</v>
      </c>
      <c r="AK34" s="43">
        <v>15</v>
      </c>
      <c r="AL34" s="43" t="s">
        <v>53</v>
      </c>
      <c r="AM34" s="43">
        <v>3</v>
      </c>
      <c r="AN34" s="43" t="s">
        <v>50</v>
      </c>
      <c r="AO34" s="43"/>
      <c r="AP34" s="43" t="s">
        <v>51</v>
      </c>
      <c r="AR34" s="22">
        <f t="shared" si="0"/>
        <v>3.6</v>
      </c>
      <c r="AS34" s="22">
        <f t="shared" si="1"/>
        <v>2.2000000000000002</v>
      </c>
      <c r="AT34" s="22" t="s">
        <v>52</v>
      </c>
      <c r="AU34" s="22" t="str">
        <f t="shared" si="2"/>
        <v>Low</v>
      </c>
      <c r="AV34" s="22" t="str">
        <f t="shared" si="3"/>
        <v>Low</v>
      </c>
    </row>
    <row r="35" spans="1:48" x14ac:dyDescent="0.2">
      <c r="A35" s="42">
        <v>1</v>
      </c>
      <c r="B35" s="43">
        <v>1</v>
      </c>
      <c r="C35" s="43">
        <v>1</v>
      </c>
      <c r="D35" s="43">
        <v>3</v>
      </c>
      <c r="E35" s="43">
        <v>5</v>
      </c>
      <c r="F35" s="43">
        <v>4</v>
      </c>
      <c r="G35" s="43">
        <v>2</v>
      </c>
      <c r="H35" s="43">
        <v>1</v>
      </c>
      <c r="I35" s="43">
        <v>5</v>
      </c>
      <c r="J35" s="43">
        <v>4</v>
      </c>
      <c r="K35" s="43">
        <v>2</v>
      </c>
      <c r="L35" s="43">
        <v>1</v>
      </c>
      <c r="M35" s="43">
        <v>5</v>
      </c>
      <c r="N35" s="43">
        <v>4</v>
      </c>
      <c r="O35" s="43">
        <v>4</v>
      </c>
      <c r="P35" s="43">
        <v>4</v>
      </c>
      <c r="Q35" s="43">
        <v>4</v>
      </c>
      <c r="R35" s="43">
        <v>2</v>
      </c>
      <c r="S35" s="43">
        <v>1</v>
      </c>
      <c r="T35" s="43">
        <v>4</v>
      </c>
      <c r="U35" s="43">
        <v>4</v>
      </c>
      <c r="V35" s="43">
        <v>4</v>
      </c>
      <c r="W35" s="43">
        <v>4</v>
      </c>
      <c r="X35" s="43">
        <v>4</v>
      </c>
      <c r="Y35" s="43">
        <v>4</v>
      </c>
      <c r="Z35" s="43">
        <v>4</v>
      </c>
      <c r="AA35" s="43">
        <v>4</v>
      </c>
      <c r="AB35" s="43">
        <v>4</v>
      </c>
      <c r="AC35" s="43">
        <v>4</v>
      </c>
      <c r="AD35" s="43">
        <v>4</v>
      </c>
      <c r="AE35" s="43">
        <v>3</v>
      </c>
      <c r="AF35" s="43">
        <v>4</v>
      </c>
      <c r="AG35" s="43"/>
      <c r="AH35" s="43"/>
      <c r="AI35" s="43">
        <v>5</v>
      </c>
      <c r="AJ35" s="43">
        <v>4</v>
      </c>
      <c r="AK35" s="43">
        <v>32</v>
      </c>
      <c r="AL35" s="43" t="s">
        <v>49</v>
      </c>
      <c r="AM35" s="43">
        <v>4</v>
      </c>
      <c r="AN35" s="43" t="s">
        <v>56</v>
      </c>
      <c r="AO35" s="43"/>
      <c r="AP35" s="43" t="s">
        <v>51</v>
      </c>
      <c r="AR35" s="22">
        <f t="shared" si="0"/>
        <v>3.8</v>
      </c>
      <c r="AS35" s="22">
        <f t="shared" si="1"/>
        <v>4.2</v>
      </c>
      <c r="AT35" s="22" t="s">
        <v>52</v>
      </c>
      <c r="AU35" s="22" t="str">
        <f t="shared" si="2"/>
        <v>Low</v>
      </c>
      <c r="AV35" s="22" t="str">
        <f t="shared" si="3"/>
        <v>High</v>
      </c>
    </row>
    <row r="36" spans="1:48" x14ac:dyDescent="0.2">
      <c r="A36" s="42">
        <v>1</v>
      </c>
      <c r="B36" s="43">
        <v>1</v>
      </c>
      <c r="C36" s="43">
        <v>1</v>
      </c>
      <c r="D36" s="43">
        <v>3</v>
      </c>
      <c r="E36" s="43">
        <v>5</v>
      </c>
      <c r="F36" s="43">
        <v>3</v>
      </c>
      <c r="G36" s="43">
        <v>2</v>
      </c>
      <c r="H36" s="43">
        <v>2</v>
      </c>
      <c r="I36" s="43">
        <v>4</v>
      </c>
      <c r="J36" s="43">
        <v>4</v>
      </c>
      <c r="K36" s="43">
        <v>2</v>
      </c>
      <c r="L36" s="43">
        <v>4</v>
      </c>
      <c r="M36" s="43">
        <v>2</v>
      </c>
      <c r="N36" s="43">
        <v>5</v>
      </c>
      <c r="O36" s="43">
        <v>4</v>
      </c>
      <c r="P36" s="43">
        <v>4</v>
      </c>
      <c r="Q36" s="43">
        <v>3</v>
      </c>
      <c r="R36" s="43">
        <v>4</v>
      </c>
      <c r="S36" s="43">
        <v>3</v>
      </c>
      <c r="T36" s="43">
        <v>4</v>
      </c>
      <c r="U36" s="43">
        <v>4</v>
      </c>
      <c r="V36" s="43">
        <v>3</v>
      </c>
      <c r="W36" s="43">
        <v>4</v>
      </c>
      <c r="X36" s="43">
        <v>3</v>
      </c>
      <c r="Y36" s="43">
        <v>4</v>
      </c>
      <c r="Z36" s="43">
        <v>4</v>
      </c>
      <c r="AA36" s="43">
        <v>3</v>
      </c>
      <c r="AB36" s="43">
        <v>4</v>
      </c>
      <c r="AC36" s="43">
        <v>4</v>
      </c>
      <c r="AD36" s="43">
        <v>2</v>
      </c>
      <c r="AE36" s="43">
        <v>3</v>
      </c>
      <c r="AF36" s="43">
        <v>3</v>
      </c>
      <c r="AG36" s="43"/>
      <c r="AH36" s="43"/>
      <c r="AI36" s="43">
        <v>5</v>
      </c>
      <c r="AJ36" s="43">
        <v>3.5</v>
      </c>
      <c r="AK36" s="43">
        <v>28</v>
      </c>
      <c r="AL36" s="43" t="s">
        <v>53</v>
      </c>
      <c r="AM36" s="43">
        <v>3.5</v>
      </c>
      <c r="AN36" s="43" t="s">
        <v>50</v>
      </c>
      <c r="AO36" s="43"/>
      <c r="AP36" s="43" t="s">
        <v>51</v>
      </c>
      <c r="AR36" s="22">
        <f t="shared" si="0"/>
        <v>3.4</v>
      </c>
      <c r="AS36" s="22">
        <f t="shared" si="1"/>
        <v>3.2</v>
      </c>
      <c r="AT36" s="22" t="s">
        <v>52</v>
      </c>
      <c r="AU36" s="22" t="str">
        <f t="shared" si="2"/>
        <v>Low</v>
      </c>
      <c r="AV36" s="22" t="str">
        <f t="shared" si="3"/>
        <v>Low</v>
      </c>
    </row>
    <row r="37" spans="1:48" x14ac:dyDescent="0.2">
      <c r="A37" s="42">
        <v>2</v>
      </c>
      <c r="B37" s="43">
        <v>2</v>
      </c>
      <c r="C37" s="43">
        <v>1</v>
      </c>
      <c r="D37" s="43">
        <v>3</v>
      </c>
      <c r="E37" s="43">
        <v>5</v>
      </c>
      <c r="F37" s="43">
        <v>4</v>
      </c>
      <c r="G37" s="43">
        <v>2</v>
      </c>
      <c r="H37" s="43">
        <v>2</v>
      </c>
      <c r="I37" s="43">
        <v>4</v>
      </c>
      <c r="J37" s="43">
        <v>4</v>
      </c>
      <c r="K37" s="43">
        <v>2</v>
      </c>
      <c r="L37" s="43">
        <v>3</v>
      </c>
      <c r="M37" s="43">
        <v>3</v>
      </c>
      <c r="N37" s="43">
        <v>5</v>
      </c>
      <c r="O37" s="43">
        <v>5</v>
      </c>
      <c r="P37" s="43">
        <v>4</v>
      </c>
      <c r="Q37" s="43">
        <v>3</v>
      </c>
      <c r="R37" s="43">
        <v>3</v>
      </c>
      <c r="S37" s="43">
        <v>3</v>
      </c>
      <c r="T37" s="43">
        <v>4</v>
      </c>
      <c r="U37" s="43">
        <v>4</v>
      </c>
      <c r="V37" s="43">
        <v>2</v>
      </c>
      <c r="W37" s="43">
        <v>2</v>
      </c>
      <c r="X37" s="43">
        <v>3</v>
      </c>
      <c r="Y37" s="43">
        <v>2</v>
      </c>
      <c r="Z37" s="43">
        <v>4</v>
      </c>
      <c r="AA37" s="43">
        <v>4</v>
      </c>
      <c r="AB37" s="43">
        <v>3</v>
      </c>
      <c r="AC37" s="43">
        <v>4</v>
      </c>
      <c r="AD37" s="43">
        <v>3</v>
      </c>
      <c r="AE37" s="43">
        <v>4</v>
      </c>
      <c r="AF37" s="43">
        <v>4</v>
      </c>
      <c r="AG37" s="43"/>
      <c r="AH37" s="43"/>
      <c r="AI37" s="43">
        <v>4</v>
      </c>
      <c r="AJ37" s="43">
        <v>3.75</v>
      </c>
      <c r="AK37" s="43">
        <v>30</v>
      </c>
      <c r="AL37" s="43" t="s">
        <v>53</v>
      </c>
      <c r="AM37" s="43">
        <v>2.25</v>
      </c>
      <c r="AN37" s="43" t="s">
        <v>50</v>
      </c>
      <c r="AO37" s="43"/>
      <c r="AP37" s="43" t="s">
        <v>51</v>
      </c>
      <c r="AR37" s="22">
        <f t="shared" si="0"/>
        <v>3.8</v>
      </c>
      <c r="AS37" s="22">
        <f t="shared" si="1"/>
        <v>3.4</v>
      </c>
      <c r="AT37" s="22" t="s">
        <v>52</v>
      </c>
      <c r="AU37" s="22" t="str">
        <f t="shared" si="2"/>
        <v>Low</v>
      </c>
      <c r="AV37" s="22" t="str">
        <f t="shared" si="3"/>
        <v>Low</v>
      </c>
    </row>
    <row r="38" spans="1:48" x14ac:dyDescent="0.2">
      <c r="A38" s="42">
        <v>2</v>
      </c>
      <c r="B38" s="43">
        <v>1</v>
      </c>
      <c r="C38" s="43">
        <v>1</v>
      </c>
      <c r="D38" s="43">
        <v>3</v>
      </c>
      <c r="E38" s="43">
        <v>5</v>
      </c>
      <c r="F38" s="43">
        <v>4</v>
      </c>
      <c r="G38" s="43">
        <v>2</v>
      </c>
      <c r="H38" s="43">
        <v>1</v>
      </c>
      <c r="I38" s="43">
        <v>5</v>
      </c>
      <c r="J38" s="43">
        <v>4</v>
      </c>
      <c r="K38" s="43">
        <v>2</v>
      </c>
      <c r="L38" s="43">
        <v>2</v>
      </c>
      <c r="M38" s="43">
        <v>4</v>
      </c>
      <c r="N38" s="43">
        <v>5</v>
      </c>
      <c r="O38" s="43">
        <v>5</v>
      </c>
      <c r="P38" s="43">
        <v>5</v>
      </c>
      <c r="Q38" s="43">
        <v>3</v>
      </c>
      <c r="R38" s="43">
        <v>4</v>
      </c>
      <c r="S38" s="43">
        <v>4</v>
      </c>
      <c r="T38" s="43">
        <v>4</v>
      </c>
      <c r="U38" s="43">
        <v>4</v>
      </c>
      <c r="V38" s="43">
        <v>3</v>
      </c>
      <c r="W38" s="43">
        <v>3</v>
      </c>
      <c r="X38" s="43">
        <v>3</v>
      </c>
      <c r="Y38" s="43">
        <v>2</v>
      </c>
      <c r="Z38" s="43">
        <v>5</v>
      </c>
      <c r="AA38" s="43">
        <v>5</v>
      </c>
      <c r="AB38" s="43">
        <v>5</v>
      </c>
      <c r="AC38" s="43">
        <v>5</v>
      </c>
      <c r="AD38" s="43">
        <v>5</v>
      </c>
      <c r="AE38" s="43">
        <v>5</v>
      </c>
      <c r="AF38" s="43">
        <v>5</v>
      </c>
      <c r="AG38" s="43"/>
      <c r="AH38" s="43"/>
      <c r="AI38" s="43">
        <v>1</v>
      </c>
      <c r="AJ38" s="43">
        <v>4.5</v>
      </c>
      <c r="AK38" s="43">
        <v>36</v>
      </c>
      <c r="AL38" s="43" t="s">
        <v>49</v>
      </c>
      <c r="AM38" s="43">
        <v>2.75</v>
      </c>
      <c r="AN38" s="43" t="s">
        <v>50</v>
      </c>
      <c r="AO38" s="43"/>
      <c r="AP38" s="43" t="s">
        <v>51</v>
      </c>
      <c r="AR38" s="22">
        <f t="shared" si="0"/>
        <v>4.2</v>
      </c>
      <c r="AS38" s="22">
        <f t="shared" si="1"/>
        <v>3</v>
      </c>
      <c r="AT38" s="22" t="s">
        <v>52</v>
      </c>
      <c r="AU38" s="22" t="str">
        <f t="shared" si="2"/>
        <v>High</v>
      </c>
      <c r="AV38" s="22" t="str">
        <f t="shared" si="3"/>
        <v>Low</v>
      </c>
    </row>
    <row r="39" spans="1:48" x14ac:dyDescent="0.2">
      <c r="A39" s="42">
        <v>3</v>
      </c>
      <c r="B39" s="43">
        <v>1</v>
      </c>
      <c r="C39" s="43">
        <v>1</v>
      </c>
      <c r="D39" s="43">
        <v>11</v>
      </c>
      <c r="E39" s="43">
        <v>2</v>
      </c>
      <c r="F39" s="43">
        <v>1</v>
      </c>
      <c r="G39" s="43">
        <v>2</v>
      </c>
      <c r="H39" s="43">
        <v>1</v>
      </c>
      <c r="I39" s="43">
        <v>1</v>
      </c>
      <c r="J39" s="43">
        <v>5</v>
      </c>
      <c r="K39" s="43">
        <v>1</v>
      </c>
      <c r="L39" s="43">
        <v>1</v>
      </c>
      <c r="M39" s="43">
        <v>5</v>
      </c>
      <c r="N39" s="43">
        <v>5</v>
      </c>
      <c r="O39" s="43">
        <v>4</v>
      </c>
      <c r="P39" s="43">
        <v>5</v>
      </c>
      <c r="Q39" s="43">
        <v>5</v>
      </c>
      <c r="R39" s="43">
        <v>2</v>
      </c>
      <c r="S39" s="43">
        <v>2</v>
      </c>
      <c r="T39" s="43">
        <v>5</v>
      </c>
      <c r="U39" s="43">
        <v>4</v>
      </c>
      <c r="V39" s="43">
        <v>3</v>
      </c>
      <c r="W39" s="43">
        <v>3</v>
      </c>
      <c r="X39" s="43">
        <v>2</v>
      </c>
      <c r="Y39" s="43">
        <v>4</v>
      </c>
      <c r="Z39" s="43">
        <v>4</v>
      </c>
      <c r="AA39" s="43">
        <v>4</v>
      </c>
      <c r="AB39" s="43">
        <v>4</v>
      </c>
      <c r="AC39" s="43">
        <v>4</v>
      </c>
      <c r="AD39" s="43">
        <v>4</v>
      </c>
      <c r="AE39" s="43">
        <v>5</v>
      </c>
      <c r="AF39" s="43">
        <v>5</v>
      </c>
      <c r="AG39" s="43"/>
      <c r="AH39" s="43"/>
      <c r="AI39" s="43">
        <v>5</v>
      </c>
      <c r="AJ39" s="43">
        <v>4.375</v>
      </c>
      <c r="AK39" s="43">
        <v>35</v>
      </c>
      <c r="AL39" s="43" t="s">
        <v>49</v>
      </c>
      <c r="AM39" s="43">
        <v>3</v>
      </c>
      <c r="AN39" s="43" t="s">
        <v>50</v>
      </c>
      <c r="AO39" s="43"/>
      <c r="AP39" s="43" t="s">
        <v>51</v>
      </c>
      <c r="AR39" s="22">
        <f t="shared" ref="AR39:AR70" si="4">AVERAGE(K39,M39,N39,O39,P39)</f>
        <v>4</v>
      </c>
      <c r="AS39" s="22">
        <f t="shared" ref="AS39:AS70" si="5">AVERAGE(Q39,6-R39,6-S39,T39,U39)</f>
        <v>4.4000000000000004</v>
      </c>
      <c r="AT39" s="22" t="s">
        <v>55</v>
      </c>
      <c r="AU39" s="22" t="str">
        <f t="shared" ref="AU39:AU70" si="6">IF(AR39&gt;=4,"High","Low")</f>
        <v>High</v>
      </c>
      <c r="AV39" s="22" t="str">
        <f t="shared" ref="AV39:AV70" si="7">IF(AS39&gt;=4,"High","Low")</f>
        <v>High</v>
      </c>
    </row>
    <row r="40" spans="1:48" x14ac:dyDescent="0.2">
      <c r="A40" s="42">
        <v>1</v>
      </c>
      <c r="B40" s="43">
        <v>3</v>
      </c>
      <c r="C40" s="43">
        <v>1</v>
      </c>
      <c r="D40" s="43">
        <v>12</v>
      </c>
      <c r="E40" s="43">
        <v>5</v>
      </c>
      <c r="F40" s="43">
        <v>3</v>
      </c>
      <c r="G40" s="43">
        <v>1</v>
      </c>
      <c r="H40" s="43">
        <v>1</v>
      </c>
      <c r="I40" s="43">
        <v>4</v>
      </c>
      <c r="J40" s="43">
        <v>5</v>
      </c>
      <c r="K40" s="43">
        <v>1</v>
      </c>
      <c r="L40" s="43">
        <v>4</v>
      </c>
      <c r="M40" s="43">
        <v>2</v>
      </c>
      <c r="N40" s="43">
        <v>4</v>
      </c>
      <c r="O40" s="43">
        <v>2</v>
      </c>
      <c r="P40" s="43">
        <v>3</v>
      </c>
      <c r="Q40" s="43">
        <v>4</v>
      </c>
      <c r="R40" s="43">
        <v>3</v>
      </c>
      <c r="S40" s="43">
        <v>4</v>
      </c>
      <c r="T40" s="43">
        <v>4</v>
      </c>
      <c r="U40" s="43">
        <v>5</v>
      </c>
      <c r="V40" s="43">
        <v>3</v>
      </c>
      <c r="W40" s="43">
        <v>1</v>
      </c>
      <c r="X40" s="43">
        <v>3</v>
      </c>
      <c r="Y40" s="43">
        <v>3</v>
      </c>
      <c r="Z40" s="43">
        <v>3</v>
      </c>
      <c r="AA40" s="43">
        <v>4</v>
      </c>
      <c r="AB40" s="43">
        <v>3</v>
      </c>
      <c r="AC40" s="43">
        <v>5</v>
      </c>
      <c r="AD40" s="43">
        <v>4</v>
      </c>
      <c r="AE40" s="43">
        <v>3</v>
      </c>
      <c r="AF40" s="43">
        <v>3</v>
      </c>
      <c r="AG40" s="43"/>
      <c r="AH40" s="43"/>
      <c r="AI40" s="43">
        <v>2</v>
      </c>
      <c r="AJ40" s="43">
        <v>3.375</v>
      </c>
      <c r="AK40" s="43">
        <v>27</v>
      </c>
      <c r="AL40" s="43" t="s">
        <v>53</v>
      </c>
      <c r="AM40" s="43">
        <v>2.5</v>
      </c>
      <c r="AN40" s="43" t="s">
        <v>50</v>
      </c>
      <c r="AO40" s="43"/>
      <c r="AP40" s="43" t="s">
        <v>51</v>
      </c>
      <c r="AR40" s="22">
        <f t="shared" si="4"/>
        <v>2.4</v>
      </c>
      <c r="AS40" s="22">
        <f t="shared" si="5"/>
        <v>3.6</v>
      </c>
      <c r="AT40" s="22" t="s">
        <v>52</v>
      </c>
      <c r="AU40" s="22" t="str">
        <f t="shared" si="6"/>
        <v>Low</v>
      </c>
      <c r="AV40" s="22" t="str">
        <f t="shared" si="7"/>
        <v>Low</v>
      </c>
    </row>
    <row r="41" spans="1:48" x14ac:dyDescent="0.2">
      <c r="A41" s="42">
        <v>1</v>
      </c>
      <c r="B41" s="43">
        <v>1</v>
      </c>
      <c r="C41" s="43">
        <v>1</v>
      </c>
      <c r="D41" s="43">
        <v>5</v>
      </c>
      <c r="E41" s="43">
        <v>5</v>
      </c>
      <c r="F41" s="43">
        <v>3</v>
      </c>
      <c r="G41" s="43">
        <v>1</v>
      </c>
      <c r="H41" s="43">
        <v>2</v>
      </c>
      <c r="I41" s="43">
        <v>5</v>
      </c>
      <c r="J41" s="43">
        <v>1</v>
      </c>
      <c r="K41" s="43">
        <v>5</v>
      </c>
      <c r="L41" s="43">
        <v>1</v>
      </c>
      <c r="M41" s="43">
        <v>5</v>
      </c>
      <c r="N41" s="43">
        <v>1</v>
      </c>
      <c r="O41" s="43">
        <v>2</v>
      </c>
      <c r="P41" s="43">
        <v>2</v>
      </c>
      <c r="Q41" s="43">
        <v>3</v>
      </c>
      <c r="R41" s="43">
        <v>3</v>
      </c>
      <c r="S41" s="43">
        <v>3</v>
      </c>
      <c r="T41" s="43">
        <v>3</v>
      </c>
      <c r="U41" s="43">
        <v>3</v>
      </c>
      <c r="V41" s="43">
        <v>4</v>
      </c>
      <c r="W41" s="43">
        <v>3</v>
      </c>
      <c r="X41" s="43">
        <v>1</v>
      </c>
      <c r="Y41" s="43">
        <v>3</v>
      </c>
      <c r="Z41" s="43">
        <v>3</v>
      </c>
      <c r="AA41" s="43">
        <v>3</v>
      </c>
      <c r="AB41" s="43">
        <v>3</v>
      </c>
      <c r="AC41" s="43">
        <v>3</v>
      </c>
      <c r="AD41" s="43">
        <v>3</v>
      </c>
      <c r="AE41" s="43">
        <v>3</v>
      </c>
      <c r="AF41" s="43">
        <v>3</v>
      </c>
      <c r="AG41" s="43"/>
      <c r="AH41" s="43"/>
      <c r="AI41" s="43">
        <v>3</v>
      </c>
      <c r="AJ41" s="43">
        <v>3</v>
      </c>
      <c r="AK41" s="43">
        <v>24</v>
      </c>
      <c r="AL41" s="43" t="s">
        <v>53</v>
      </c>
      <c r="AM41" s="43">
        <v>2.75</v>
      </c>
      <c r="AN41" s="43" t="s">
        <v>50</v>
      </c>
      <c r="AO41" s="43"/>
      <c r="AP41" s="43" t="s">
        <v>51</v>
      </c>
      <c r="AR41" s="22">
        <f t="shared" si="4"/>
        <v>3</v>
      </c>
      <c r="AS41" s="22">
        <f t="shared" si="5"/>
        <v>3</v>
      </c>
      <c r="AT41" s="22" t="s">
        <v>52</v>
      </c>
      <c r="AU41" s="22" t="str">
        <f t="shared" si="6"/>
        <v>Low</v>
      </c>
      <c r="AV41" s="22" t="str">
        <f t="shared" si="7"/>
        <v>Low</v>
      </c>
    </row>
    <row r="42" spans="1:48" x14ac:dyDescent="0.2">
      <c r="A42" s="42">
        <v>2</v>
      </c>
      <c r="B42" s="43">
        <v>1</v>
      </c>
      <c r="C42" s="43">
        <v>2</v>
      </c>
      <c r="D42" s="43">
        <v>10</v>
      </c>
      <c r="E42" s="43">
        <v>4</v>
      </c>
      <c r="F42" s="43">
        <v>4</v>
      </c>
      <c r="G42" s="43">
        <v>3</v>
      </c>
      <c r="H42" s="43">
        <v>3</v>
      </c>
      <c r="I42" s="43">
        <v>4</v>
      </c>
      <c r="J42" s="43">
        <v>1</v>
      </c>
      <c r="K42" s="43">
        <v>5</v>
      </c>
      <c r="L42" s="43">
        <v>1</v>
      </c>
      <c r="M42" s="43">
        <v>5</v>
      </c>
      <c r="N42" s="43">
        <v>1</v>
      </c>
      <c r="O42" s="43">
        <v>1</v>
      </c>
      <c r="P42" s="43">
        <v>1</v>
      </c>
      <c r="Q42" s="43">
        <v>1</v>
      </c>
      <c r="R42" s="43">
        <v>1</v>
      </c>
      <c r="S42" s="43">
        <v>1</v>
      </c>
      <c r="T42" s="43">
        <v>1</v>
      </c>
      <c r="U42" s="43">
        <v>1</v>
      </c>
      <c r="V42" s="43">
        <v>3</v>
      </c>
      <c r="W42" s="43">
        <v>3</v>
      </c>
      <c r="X42" s="43">
        <v>3</v>
      </c>
      <c r="Y42" s="43">
        <v>3</v>
      </c>
      <c r="Z42" s="43">
        <v>4</v>
      </c>
      <c r="AA42" s="43">
        <v>4</v>
      </c>
      <c r="AB42" s="43">
        <v>4</v>
      </c>
      <c r="AC42" s="43">
        <v>4</v>
      </c>
      <c r="AD42" s="43">
        <v>4</v>
      </c>
      <c r="AE42" s="43">
        <v>4</v>
      </c>
      <c r="AF42" s="43">
        <v>4</v>
      </c>
      <c r="AG42" s="43"/>
      <c r="AH42" s="43"/>
      <c r="AI42" s="43">
        <v>2</v>
      </c>
      <c r="AJ42" s="43">
        <v>3.75</v>
      </c>
      <c r="AK42" s="43">
        <v>30</v>
      </c>
      <c r="AL42" s="43" t="s">
        <v>53</v>
      </c>
      <c r="AM42" s="43">
        <v>3</v>
      </c>
      <c r="AN42" s="43" t="s">
        <v>50</v>
      </c>
      <c r="AO42" s="43"/>
      <c r="AP42" s="43" t="s">
        <v>51</v>
      </c>
      <c r="AR42" s="22">
        <f t="shared" si="4"/>
        <v>2.6</v>
      </c>
      <c r="AS42" s="22">
        <f t="shared" si="5"/>
        <v>2.6</v>
      </c>
      <c r="AT42" s="22" t="s">
        <v>52</v>
      </c>
      <c r="AU42" s="22" t="str">
        <f t="shared" si="6"/>
        <v>Low</v>
      </c>
      <c r="AV42" s="22" t="str">
        <f t="shared" si="7"/>
        <v>Low</v>
      </c>
    </row>
    <row r="43" spans="1:48" x14ac:dyDescent="0.2">
      <c r="A43" s="42">
        <v>2</v>
      </c>
      <c r="B43" s="43">
        <v>2</v>
      </c>
      <c r="C43" s="43">
        <v>2</v>
      </c>
      <c r="D43" s="43">
        <v>15</v>
      </c>
      <c r="E43" s="43">
        <v>5</v>
      </c>
      <c r="F43" s="43">
        <v>3</v>
      </c>
      <c r="G43" s="43">
        <v>2</v>
      </c>
      <c r="H43" s="43">
        <v>2</v>
      </c>
      <c r="I43" s="43">
        <v>5</v>
      </c>
      <c r="J43" s="43">
        <v>4</v>
      </c>
      <c r="K43" s="43">
        <v>2</v>
      </c>
      <c r="L43" s="43">
        <v>2</v>
      </c>
      <c r="M43" s="43">
        <v>4</v>
      </c>
      <c r="N43" s="43">
        <v>5</v>
      </c>
      <c r="O43" s="43">
        <v>4</v>
      </c>
      <c r="P43" s="43">
        <v>5</v>
      </c>
      <c r="Q43" s="43">
        <v>4</v>
      </c>
      <c r="R43" s="43">
        <v>3</v>
      </c>
      <c r="S43" s="43">
        <v>2</v>
      </c>
      <c r="T43" s="43">
        <v>4</v>
      </c>
      <c r="U43" s="43">
        <v>3</v>
      </c>
      <c r="V43" s="43">
        <v>3</v>
      </c>
      <c r="W43" s="43">
        <v>3</v>
      </c>
      <c r="X43" s="43">
        <v>3</v>
      </c>
      <c r="Y43" s="43">
        <v>4</v>
      </c>
      <c r="Z43" s="43">
        <v>5</v>
      </c>
      <c r="AA43" s="43">
        <v>5</v>
      </c>
      <c r="AB43" s="43">
        <v>5</v>
      </c>
      <c r="AC43" s="43">
        <v>5</v>
      </c>
      <c r="AD43" s="43">
        <v>4</v>
      </c>
      <c r="AE43" s="43">
        <v>4</v>
      </c>
      <c r="AF43" s="43">
        <v>4</v>
      </c>
      <c r="AG43" s="43"/>
      <c r="AH43" s="43"/>
      <c r="AI43" s="43">
        <v>5</v>
      </c>
      <c r="AJ43" s="43">
        <v>4.625</v>
      </c>
      <c r="AK43" s="43">
        <v>37</v>
      </c>
      <c r="AL43" s="43" t="s">
        <v>49</v>
      </c>
      <c r="AM43" s="43">
        <v>3.25</v>
      </c>
      <c r="AN43" s="43" t="s">
        <v>50</v>
      </c>
      <c r="AO43" s="43"/>
      <c r="AP43" s="43" t="s">
        <v>51</v>
      </c>
      <c r="AR43" s="22">
        <f t="shared" si="4"/>
        <v>4</v>
      </c>
      <c r="AS43" s="22">
        <f t="shared" si="5"/>
        <v>3.6</v>
      </c>
      <c r="AT43" s="22" t="s">
        <v>52</v>
      </c>
      <c r="AU43" s="22" t="str">
        <f t="shared" si="6"/>
        <v>High</v>
      </c>
      <c r="AV43" s="22" t="str">
        <f t="shared" si="7"/>
        <v>Low</v>
      </c>
    </row>
    <row r="44" spans="1:48" x14ac:dyDescent="0.2">
      <c r="A44" s="42">
        <v>3</v>
      </c>
      <c r="B44" s="43">
        <v>3</v>
      </c>
      <c r="C44" s="43">
        <v>2</v>
      </c>
      <c r="D44" s="43">
        <v>7</v>
      </c>
      <c r="E44" s="43">
        <v>5</v>
      </c>
      <c r="F44" s="43">
        <v>4</v>
      </c>
      <c r="G44" s="43">
        <v>4</v>
      </c>
      <c r="H44" s="43">
        <v>2</v>
      </c>
      <c r="I44" s="43">
        <v>3</v>
      </c>
      <c r="J44" s="43">
        <v>5</v>
      </c>
      <c r="K44" s="43">
        <v>1</v>
      </c>
      <c r="L44" s="43">
        <v>5</v>
      </c>
      <c r="M44" s="43">
        <v>1</v>
      </c>
      <c r="N44" s="43">
        <v>5</v>
      </c>
      <c r="O44" s="43">
        <v>2</v>
      </c>
      <c r="P44" s="43">
        <v>3</v>
      </c>
      <c r="Q44" s="43">
        <v>4</v>
      </c>
      <c r="R44" s="43">
        <v>3</v>
      </c>
      <c r="S44" s="43">
        <v>3</v>
      </c>
      <c r="T44" s="43">
        <v>4</v>
      </c>
      <c r="U44" s="43">
        <v>2</v>
      </c>
      <c r="V44" s="43">
        <v>1</v>
      </c>
      <c r="W44" s="43">
        <v>1</v>
      </c>
      <c r="X44" s="43">
        <v>1</v>
      </c>
      <c r="Y44" s="43">
        <v>3</v>
      </c>
      <c r="Z44" s="43">
        <v>3</v>
      </c>
      <c r="AA44" s="43">
        <v>4</v>
      </c>
      <c r="AB44" s="43">
        <v>3</v>
      </c>
      <c r="AC44" s="43">
        <v>3</v>
      </c>
      <c r="AD44" s="43">
        <v>3</v>
      </c>
      <c r="AE44" s="43">
        <v>4</v>
      </c>
      <c r="AF44" s="43">
        <v>1</v>
      </c>
      <c r="AG44" s="43"/>
      <c r="AH44" s="43"/>
      <c r="AI44" s="43">
        <v>3</v>
      </c>
      <c r="AJ44" s="43">
        <v>3</v>
      </c>
      <c r="AK44" s="43">
        <v>24</v>
      </c>
      <c r="AL44" s="43" t="s">
        <v>53</v>
      </c>
      <c r="AM44" s="43">
        <v>1.5</v>
      </c>
      <c r="AN44" s="43" t="s">
        <v>50</v>
      </c>
      <c r="AO44" s="43"/>
      <c r="AP44" s="43" t="s">
        <v>51</v>
      </c>
      <c r="AR44" s="22">
        <f t="shared" si="4"/>
        <v>2.4</v>
      </c>
      <c r="AS44" s="22">
        <f t="shared" si="5"/>
        <v>3.2</v>
      </c>
      <c r="AT44" s="22" t="s">
        <v>55</v>
      </c>
      <c r="AU44" s="22" t="str">
        <f t="shared" si="6"/>
        <v>Low</v>
      </c>
      <c r="AV44" s="22" t="str">
        <f t="shared" si="7"/>
        <v>Low</v>
      </c>
    </row>
    <row r="45" spans="1:48" x14ac:dyDescent="0.2">
      <c r="A45" s="42">
        <v>1</v>
      </c>
      <c r="B45" s="43">
        <v>2</v>
      </c>
      <c r="C45" s="43">
        <v>2</v>
      </c>
      <c r="D45" s="43">
        <v>17</v>
      </c>
      <c r="E45" s="43">
        <v>5</v>
      </c>
      <c r="F45" s="43">
        <v>3</v>
      </c>
      <c r="G45" s="43">
        <v>2</v>
      </c>
      <c r="H45" s="43">
        <v>1</v>
      </c>
      <c r="I45" s="43">
        <v>5</v>
      </c>
      <c r="J45" s="43">
        <v>4</v>
      </c>
      <c r="K45" s="43">
        <v>2</v>
      </c>
      <c r="L45" s="43">
        <v>2</v>
      </c>
      <c r="M45" s="43">
        <v>4</v>
      </c>
      <c r="N45" s="43">
        <v>4</v>
      </c>
      <c r="O45" s="43">
        <v>4</v>
      </c>
      <c r="P45" s="43">
        <v>4</v>
      </c>
      <c r="Q45" s="43">
        <v>3</v>
      </c>
      <c r="R45" s="43">
        <v>4</v>
      </c>
      <c r="S45" s="43">
        <v>3</v>
      </c>
      <c r="T45" s="43">
        <v>3</v>
      </c>
      <c r="U45" s="43">
        <v>4</v>
      </c>
      <c r="V45" s="43">
        <v>4</v>
      </c>
      <c r="W45" s="43">
        <v>4</v>
      </c>
      <c r="X45" s="43">
        <v>3</v>
      </c>
      <c r="Y45" s="43">
        <v>4</v>
      </c>
      <c r="Z45" s="43">
        <v>4</v>
      </c>
      <c r="AA45" s="43">
        <v>4</v>
      </c>
      <c r="AB45" s="43">
        <v>4</v>
      </c>
      <c r="AC45" s="43">
        <v>4</v>
      </c>
      <c r="AD45" s="43">
        <v>4</v>
      </c>
      <c r="AE45" s="43">
        <v>3</v>
      </c>
      <c r="AF45" s="43">
        <v>4</v>
      </c>
      <c r="AG45" s="43"/>
      <c r="AH45" s="43"/>
      <c r="AI45" s="43">
        <v>2</v>
      </c>
      <c r="AJ45" s="43">
        <v>3.625</v>
      </c>
      <c r="AK45" s="43">
        <v>29</v>
      </c>
      <c r="AL45" s="43" t="s">
        <v>53</v>
      </c>
      <c r="AM45" s="43">
        <v>3.75</v>
      </c>
      <c r="AN45" s="43" t="s">
        <v>50</v>
      </c>
      <c r="AO45" s="43"/>
      <c r="AP45" s="43" t="s">
        <v>51</v>
      </c>
      <c r="AR45" s="22">
        <f t="shared" si="4"/>
        <v>3.6</v>
      </c>
      <c r="AS45" s="22">
        <f t="shared" si="5"/>
        <v>3</v>
      </c>
      <c r="AT45" s="22" t="s">
        <v>52</v>
      </c>
      <c r="AU45" s="22" t="str">
        <f t="shared" si="6"/>
        <v>Low</v>
      </c>
      <c r="AV45" s="22" t="str">
        <f t="shared" si="7"/>
        <v>Low</v>
      </c>
    </row>
    <row r="46" spans="1:48" x14ac:dyDescent="0.2">
      <c r="A46" s="42">
        <v>2</v>
      </c>
      <c r="B46" s="43">
        <v>5</v>
      </c>
      <c r="C46" s="43">
        <v>1</v>
      </c>
      <c r="D46" s="43">
        <v>17</v>
      </c>
      <c r="E46" s="43">
        <v>3</v>
      </c>
      <c r="F46" s="43">
        <v>3</v>
      </c>
      <c r="G46" s="43">
        <v>4</v>
      </c>
      <c r="H46" s="43">
        <v>4</v>
      </c>
      <c r="I46" s="43">
        <v>3</v>
      </c>
      <c r="J46" s="43">
        <v>4</v>
      </c>
      <c r="K46" s="43">
        <v>2</v>
      </c>
      <c r="L46" s="43">
        <v>2</v>
      </c>
      <c r="M46" s="43">
        <v>4</v>
      </c>
      <c r="N46" s="43">
        <v>4</v>
      </c>
      <c r="O46" s="43">
        <v>5</v>
      </c>
      <c r="P46" s="43">
        <v>3</v>
      </c>
      <c r="Q46" s="43">
        <v>4</v>
      </c>
      <c r="R46" s="43">
        <v>5</v>
      </c>
      <c r="S46" s="43">
        <v>4</v>
      </c>
      <c r="T46" s="43">
        <v>2</v>
      </c>
      <c r="U46" s="43">
        <v>1</v>
      </c>
      <c r="V46" s="43">
        <v>3</v>
      </c>
      <c r="W46" s="43">
        <v>2</v>
      </c>
      <c r="X46" s="43">
        <v>4</v>
      </c>
      <c r="Y46" s="43">
        <v>2</v>
      </c>
      <c r="Z46" s="43">
        <v>5</v>
      </c>
      <c r="AA46" s="43">
        <v>4</v>
      </c>
      <c r="AB46" s="43">
        <v>5</v>
      </c>
      <c r="AC46" s="43">
        <v>2</v>
      </c>
      <c r="AD46" s="43">
        <v>4</v>
      </c>
      <c r="AE46" s="43">
        <v>3</v>
      </c>
      <c r="AF46" s="43">
        <v>5</v>
      </c>
      <c r="AG46" s="43"/>
      <c r="AH46" s="43"/>
      <c r="AI46" s="43">
        <v>3</v>
      </c>
      <c r="AJ46" s="43">
        <v>3.875</v>
      </c>
      <c r="AK46" s="43">
        <v>31</v>
      </c>
      <c r="AL46" s="43" t="s">
        <v>53</v>
      </c>
      <c r="AM46" s="43">
        <v>2.75</v>
      </c>
      <c r="AN46" s="43" t="s">
        <v>50</v>
      </c>
      <c r="AO46" s="43"/>
      <c r="AP46" s="43" t="s">
        <v>54</v>
      </c>
      <c r="AR46" s="22">
        <f t="shared" si="4"/>
        <v>3.6</v>
      </c>
      <c r="AS46" s="22">
        <f t="shared" si="5"/>
        <v>2</v>
      </c>
      <c r="AT46" s="22" t="s">
        <v>52</v>
      </c>
      <c r="AU46" s="22" t="str">
        <f t="shared" si="6"/>
        <v>Low</v>
      </c>
      <c r="AV46" s="22" t="str">
        <f t="shared" si="7"/>
        <v>Low</v>
      </c>
    </row>
    <row r="47" spans="1:48" x14ac:dyDescent="0.2">
      <c r="A47" s="42">
        <v>3</v>
      </c>
      <c r="B47" s="43">
        <v>5</v>
      </c>
      <c r="C47" s="43">
        <v>2</v>
      </c>
      <c r="D47" s="43">
        <v>3</v>
      </c>
      <c r="E47" s="43">
        <v>5</v>
      </c>
      <c r="F47" s="43">
        <v>4</v>
      </c>
      <c r="G47" s="43">
        <v>3</v>
      </c>
      <c r="H47" s="43">
        <v>2</v>
      </c>
      <c r="I47" s="43">
        <v>5</v>
      </c>
      <c r="J47" s="43">
        <v>5</v>
      </c>
      <c r="K47" s="43">
        <v>1</v>
      </c>
      <c r="L47" s="43">
        <v>3</v>
      </c>
      <c r="M47" s="43">
        <v>3</v>
      </c>
      <c r="N47" s="43">
        <v>5</v>
      </c>
      <c r="O47" s="43">
        <v>5</v>
      </c>
      <c r="P47" s="43">
        <v>3</v>
      </c>
      <c r="Q47" s="43">
        <v>5</v>
      </c>
      <c r="R47" s="43">
        <v>1</v>
      </c>
      <c r="S47" s="43">
        <v>3</v>
      </c>
      <c r="T47" s="43">
        <v>5</v>
      </c>
      <c r="U47" s="43">
        <v>3</v>
      </c>
      <c r="V47" s="43">
        <v>3</v>
      </c>
      <c r="W47" s="43">
        <v>3</v>
      </c>
      <c r="X47" s="43">
        <v>3</v>
      </c>
      <c r="Y47" s="43">
        <v>4</v>
      </c>
      <c r="Z47" s="43">
        <v>5</v>
      </c>
      <c r="AA47" s="43">
        <v>3</v>
      </c>
      <c r="AB47" s="43">
        <v>4</v>
      </c>
      <c r="AC47" s="43">
        <v>5</v>
      </c>
      <c r="AD47" s="43">
        <v>5</v>
      </c>
      <c r="AE47" s="43">
        <v>4</v>
      </c>
      <c r="AF47" s="43">
        <v>3</v>
      </c>
      <c r="AG47" s="43"/>
      <c r="AH47" s="43"/>
      <c r="AI47" s="43">
        <v>3</v>
      </c>
      <c r="AJ47" s="43">
        <v>4</v>
      </c>
      <c r="AK47" s="43">
        <v>32</v>
      </c>
      <c r="AL47" s="43" t="s">
        <v>49</v>
      </c>
      <c r="AM47" s="43">
        <v>3.25</v>
      </c>
      <c r="AN47" s="43" t="s">
        <v>50</v>
      </c>
      <c r="AO47" s="43"/>
      <c r="AP47" s="43" t="s">
        <v>51</v>
      </c>
      <c r="AR47" s="22">
        <f t="shared" si="4"/>
        <v>3.4</v>
      </c>
      <c r="AS47" s="22">
        <f t="shared" si="5"/>
        <v>4.2</v>
      </c>
      <c r="AT47" s="22" t="s">
        <v>52</v>
      </c>
      <c r="AU47" s="22" t="str">
        <f t="shared" si="6"/>
        <v>Low</v>
      </c>
      <c r="AV47" s="22" t="str">
        <f t="shared" si="7"/>
        <v>High</v>
      </c>
    </row>
    <row r="48" spans="1:48" x14ac:dyDescent="0.2">
      <c r="A48" s="42">
        <v>1</v>
      </c>
      <c r="B48" s="43">
        <v>2</v>
      </c>
      <c r="C48" s="43">
        <v>2</v>
      </c>
      <c r="D48" s="43">
        <v>3</v>
      </c>
      <c r="E48" s="43">
        <v>5</v>
      </c>
      <c r="F48" s="43">
        <v>3</v>
      </c>
      <c r="G48" s="43">
        <v>2</v>
      </c>
      <c r="H48" s="43">
        <v>2</v>
      </c>
      <c r="I48" s="43">
        <v>5</v>
      </c>
      <c r="J48" s="43">
        <v>4</v>
      </c>
      <c r="K48" s="43">
        <v>2</v>
      </c>
      <c r="L48" s="43">
        <v>2</v>
      </c>
      <c r="M48" s="43">
        <v>4</v>
      </c>
      <c r="N48" s="43">
        <v>4</v>
      </c>
      <c r="O48" s="43">
        <v>5</v>
      </c>
      <c r="P48" s="43">
        <v>5</v>
      </c>
      <c r="Q48" s="43">
        <v>4</v>
      </c>
      <c r="R48" s="43">
        <v>5</v>
      </c>
      <c r="S48" s="43">
        <v>5</v>
      </c>
      <c r="T48" s="43">
        <v>4</v>
      </c>
      <c r="U48" s="43">
        <v>1</v>
      </c>
      <c r="V48" s="43">
        <v>1</v>
      </c>
      <c r="W48" s="43">
        <v>2</v>
      </c>
      <c r="X48" s="43">
        <v>2</v>
      </c>
      <c r="Y48" s="43">
        <v>1</v>
      </c>
      <c r="Z48" s="43">
        <v>4</v>
      </c>
      <c r="AA48" s="43">
        <v>2</v>
      </c>
      <c r="AB48" s="43">
        <v>2</v>
      </c>
      <c r="AC48" s="43">
        <v>5</v>
      </c>
      <c r="AD48" s="43">
        <v>3</v>
      </c>
      <c r="AE48" s="43">
        <v>4</v>
      </c>
      <c r="AF48" s="43">
        <v>5</v>
      </c>
      <c r="AG48" s="43"/>
      <c r="AH48" s="43"/>
      <c r="AI48" s="43">
        <v>4</v>
      </c>
      <c r="AJ48" s="43">
        <v>3.625</v>
      </c>
      <c r="AK48" s="43">
        <v>29</v>
      </c>
      <c r="AL48" s="43" t="s">
        <v>53</v>
      </c>
      <c r="AM48" s="43">
        <v>1.5</v>
      </c>
      <c r="AN48" s="43" t="s">
        <v>50</v>
      </c>
      <c r="AO48" s="43"/>
      <c r="AP48" s="43" t="s">
        <v>51</v>
      </c>
      <c r="AR48" s="22">
        <f t="shared" si="4"/>
        <v>4</v>
      </c>
      <c r="AS48" s="22">
        <f t="shared" si="5"/>
        <v>2.2000000000000002</v>
      </c>
      <c r="AT48" s="22" t="s">
        <v>52</v>
      </c>
      <c r="AU48" s="22" t="str">
        <f t="shared" si="6"/>
        <v>High</v>
      </c>
      <c r="AV48" s="22" t="str">
        <f t="shared" si="7"/>
        <v>Low</v>
      </c>
    </row>
    <row r="49" spans="1:48" x14ac:dyDescent="0.2">
      <c r="A49" s="42">
        <v>2</v>
      </c>
      <c r="B49" s="43">
        <v>1</v>
      </c>
      <c r="C49" s="43">
        <v>2</v>
      </c>
      <c r="D49" s="43">
        <v>17</v>
      </c>
      <c r="E49" s="43">
        <v>4</v>
      </c>
      <c r="F49" s="43">
        <v>2</v>
      </c>
      <c r="G49" s="43">
        <v>4</v>
      </c>
      <c r="H49" s="43">
        <v>2</v>
      </c>
      <c r="I49" s="43">
        <v>2</v>
      </c>
      <c r="J49" s="43">
        <v>4</v>
      </c>
      <c r="K49" s="43">
        <v>2</v>
      </c>
      <c r="L49" s="43">
        <v>3</v>
      </c>
      <c r="M49" s="43">
        <v>3</v>
      </c>
      <c r="N49" s="43">
        <v>4</v>
      </c>
      <c r="O49" s="43">
        <v>4</v>
      </c>
      <c r="P49" s="43">
        <v>4</v>
      </c>
      <c r="Q49" s="43">
        <v>4</v>
      </c>
      <c r="R49" s="43">
        <v>3</v>
      </c>
      <c r="S49" s="43">
        <v>2</v>
      </c>
      <c r="T49" s="43">
        <v>4</v>
      </c>
      <c r="U49" s="43">
        <v>4</v>
      </c>
      <c r="V49" s="43">
        <v>2</v>
      </c>
      <c r="W49" s="43">
        <v>2</v>
      </c>
      <c r="X49" s="43">
        <v>2</v>
      </c>
      <c r="Y49" s="43">
        <v>2</v>
      </c>
      <c r="Z49" s="43">
        <v>3</v>
      </c>
      <c r="AA49" s="43">
        <v>4</v>
      </c>
      <c r="AB49" s="43">
        <v>2</v>
      </c>
      <c r="AC49" s="43">
        <v>4</v>
      </c>
      <c r="AD49" s="43">
        <v>3</v>
      </c>
      <c r="AE49" s="43">
        <v>3</v>
      </c>
      <c r="AF49" s="43">
        <v>3</v>
      </c>
      <c r="AG49" s="43"/>
      <c r="AH49" s="43"/>
      <c r="AI49" s="43">
        <v>3</v>
      </c>
      <c r="AJ49" s="43">
        <v>3.125</v>
      </c>
      <c r="AK49" s="43">
        <v>25</v>
      </c>
      <c r="AL49" s="43" t="s">
        <v>53</v>
      </c>
      <c r="AM49" s="43">
        <v>2</v>
      </c>
      <c r="AN49" s="43" t="s">
        <v>50</v>
      </c>
      <c r="AO49" s="43"/>
      <c r="AP49" s="43" t="s">
        <v>51</v>
      </c>
      <c r="AR49" s="22">
        <f t="shared" si="4"/>
        <v>3.4</v>
      </c>
      <c r="AS49" s="22">
        <f t="shared" si="5"/>
        <v>3.8</v>
      </c>
      <c r="AT49" s="22" t="s">
        <v>52</v>
      </c>
      <c r="AU49" s="22" t="str">
        <f t="shared" si="6"/>
        <v>Low</v>
      </c>
      <c r="AV49" s="22" t="str">
        <f t="shared" si="7"/>
        <v>Low</v>
      </c>
    </row>
    <row r="50" spans="1:48" x14ac:dyDescent="0.2">
      <c r="A50" s="42">
        <v>3</v>
      </c>
      <c r="B50" s="43">
        <v>2</v>
      </c>
      <c r="C50" s="43">
        <v>2</v>
      </c>
      <c r="D50" s="43">
        <v>4</v>
      </c>
      <c r="E50" s="43">
        <v>4</v>
      </c>
      <c r="F50" s="43">
        <v>4</v>
      </c>
      <c r="G50" s="43">
        <v>2</v>
      </c>
      <c r="H50" s="43">
        <v>2</v>
      </c>
      <c r="I50" s="43">
        <v>4</v>
      </c>
      <c r="J50" s="43">
        <v>4</v>
      </c>
      <c r="K50" s="43">
        <v>2</v>
      </c>
      <c r="L50" s="43">
        <v>2</v>
      </c>
      <c r="M50" s="43">
        <v>4</v>
      </c>
      <c r="N50" s="43">
        <v>4</v>
      </c>
      <c r="O50" s="43">
        <v>3</v>
      </c>
      <c r="P50" s="43">
        <v>4</v>
      </c>
      <c r="Q50" s="43">
        <v>4</v>
      </c>
      <c r="R50" s="43">
        <v>2</v>
      </c>
      <c r="S50" s="43">
        <v>3</v>
      </c>
      <c r="T50" s="43">
        <v>4</v>
      </c>
      <c r="U50" s="43">
        <v>4</v>
      </c>
      <c r="V50" s="43">
        <v>3</v>
      </c>
      <c r="W50" s="43">
        <v>3</v>
      </c>
      <c r="X50" s="43">
        <v>2</v>
      </c>
      <c r="Y50" s="43">
        <v>4</v>
      </c>
      <c r="Z50" s="43">
        <v>4</v>
      </c>
      <c r="AA50" s="43">
        <v>4</v>
      </c>
      <c r="AB50" s="43">
        <v>3</v>
      </c>
      <c r="AC50" s="43">
        <v>4</v>
      </c>
      <c r="AD50" s="43">
        <v>4</v>
      </c>
      <c r="AE50" s="43">
        <v>4</v>
      </c>
      <c r="AF50" s="43">
        <v>4</v>
      </c>
      <c r="AG50" s="43"/>
      <c r="AH50" s="43"/>
      <c r="AI50" s="43">
        <v>4</v>
      </c>
      <c r="AJ50" s="43">
        <v>3.875</v>
      </c>
      <c r="AK50" s="43">
        <v>31</v>
      </c>
      <c r="AL50" s="43" t="s">
        <v>53</v>
      </c>
      <c r="AM50" s="43">
        <v>3</v>
      </c>
      <c r="AN50" s="43" t="s">
        <v>50</v>
      </c>
      <c r="AO50" s="43"/>
      <c r="AP50" s="43" t="s">
        <v>51</v>
      </c>
      <c r="AR50" s="22">
        <f t="shared" si="4"/>
        <v>3.4</v>
      </c>
      <c r="AS50" s="22">
        <f t="shared" si="5"/>
        <v>3.8</v>
      </c>
      <c r="AT50" s="22" t="s">
        <v>52</v>
      </c>
      <c r="AU50" s="22" t="str">
        <f t="shared" si="6"/>
        <v>Low</v>
      </c>
      <c r="AV50" s="22" t="str">
        <f t="shared" si="7"/>
        <v>Low</v>
      </c>
    </row>
    <row r="51" spans="1:48" x14ac:dyDescent="0.2">
      <c r="A51" s="42">
        <v>1</v>
      </c>
      <c r="B51" s="43">
        <v>2</v>
      </c>
      <c r="C51" s="43">
        <v>2</v>
      </c>
      <c r="D51" s="43">
        <v>15</v>
      </c>
      <c r="E51" s="43">
        <v>5</v>
      </c>
      <c r="F51" s="43">
        <v>3</v>
      </c>
      <c r="G51" s="43">
        <v>1</v>
      </c>
      <c r="H51" s="43">
        <v>2</v>
      </c>
      <c r="I51" s="43">
        <v>4</v>
      </c>
      <c r="J51" s="43">
        <v>5</v>
      </c>
      <c r="K51" s="43">
        <v>1</v>
      </c>
      <c r="L51" s="43">
        <v>4</v>
      </c>
      <c r="M51" s="43">
        <v>2</v>
      </c>
      <c r="N51" s="43">
        <v>4</v>
      </c>
      <c r="O51" s="43">
        <v>3</v>
      </c>
      <c r="P51" s="43">
        <v>3</v>
      </c>
      <c r="Q51" s="43">
        <v>4</v>
      </c>
      <c r="R51" s="43">
        <v>3</v>
      </c>
      <c r="S51" s="43">
        <v>4</v>
      </c>
      <c r="T51" s="43">
        <v>3</v>
      </c>
      <c r="U51" s="43">
        <v>3</v>
      </c>
      <c r="V51" s="43">
        <v>3</v>
      </c>
      <c r="W51" s="43">
        <v>3</v>
      </c>
      <c r="X51" s="43">
        <v>4</v>
      </c>
      <c r="Y51" s="43">
        <v>3</v>
      </c>
      <c r="Z51" s="43">
        <v>3</v>
      </c>
      <c r="AA51" s="43">
        <v>2</v>
      </c>
      <c r="AB51" s="43">
        <v>2</v>
      </c>
      <c r="AC51" s="43">
        <v>4</v>
      </c>
      <c r="AD51" s="43">
        <v>2</v>
      </c>
      <c r="AE51" s="43">
        <v>2</v>
      </c>
      <c r="AF51" s="43">
        <v>2</v>
      </c>
      <c r="AG51" s="43"/>
      <c r="AH51" s="43"/>
      <c r="AI51" s="43">
        <v>1</v>
      </c>
      <c r="AJ51" s="43">
        <v>2.25</v>
      </c>
      <c r="AK51" s="43">
        <v>18</v>
      </c>
      <c r="AL51" s="43" t="s">
        <v>53</v>
      </c>
      <c r="AM51" s="43">
        <v>3.25</v>
      </c>
      <c r="AN51" s="43" t="s">
        <v>50</v>
      </c>
      <c r="AO51" s="43"/>
      <c r="AP51" s="43" t="s">
        <v>51</v>
      </c>
      <c r="AR51" s="22">
        <f t="shared" si="4"/>
        <v>2.6</v>
      </c>
      <c r="AS51" s="22">
        <f t="shared" si="5"/>
        <v>3</v>
      </c>
      <c r="AT51" s="22" t="s">
        <v>52</v>
      </c>
      <c r="AU51" s="22" t="str">
        <f t="shared" si="6"/>
        <v>Low</v>
      </c>
      <c r="AV51" s="22" t="str">
        <f t="shared" si="7"/>
        <v>Low</v>
      </c>
    </row>
    <row r="52" spans="1:48" x14ac:dyDescent="0.2">
      <c r="A52" s="42">
        <v>3</v>
      </c>
      <c r="B52" s="43">
        <v>5</v>
      </c>
      <c r="C52" s="43">
        <v>2</v>
      </c>
      <c r="D52" s="43">
        <v>16</v>
      </c>
      <c r="E52" s="43">
        <v>5</v>
      </c>
      <c r="F52" s="43">
        <v>4</v>
      </c>
      <c r="G52" s="43">
        <v>3</v>
      </c>
      <c r="H52" s="43">
        <v>2</v>
      </c>
      <c r="I52" s="43">
        <v>5</v>
      </c>
      <c r="J52" s="43">
        <v>4</v>
      </c>
      <c r="K52" s="43">
        <v>2</v>
      </c>
      <c r="L52" s="43">
        <v>3</v>
      </c>
      <c r="M52" s="43">
        <v>3</v>
      </c>
      <c r="N52" s="43">
        <v>5</v>
      </c>
      <c r="O52" s="43">
        <v>5</v>
      </c>
      <c r="P52" s="43">
        <v>5</v>
      </c>
      <c r="Q52" s="43">
        <v>4</v>
      </c>
      <c r="R52" s="43">
        <v>3</v>
      </c>
      <c r="S52" s="43">
        <v>4</v>
      </c>
      <c r="T52" s="43">
        <v>4</v>
      </c>
      <c r="U52" s="43">
        <v>4</v>
      </c>
      <c r="V52" s="43">
        <v>2</v>
      </c>
      <c r="W52" s="43">
        <v>2</v>
      </c>
      <c r="X52" s="43">
        <v>1</v>
      </c>
      <c r="Y52" s="43">
        <v>4</v>
      </c>
      <c r="Z52" s="43">
        <v>4</v>
      </c>
      <c r="AA52" s="43">
        <v>4</v>
      </c>
      <c r="AB52" s="43">
        <v>4</v>
      </c>
      <c r="AC52" s="43">
        <v>4</v>
      </c>
      <c r="AD52" s="43">
        <v>4</v>
      </c>
      <c r="AE52" s="43">
        <v>4</v>
      </c>
      <c r="AF52" s="43">
        <v>4</v>
      </c>
      <c r="AG52" s="43"/>
      <c r="AH52" s="43"/>
      <c r="AI52" s="43">
        <v>3</v>
      </c>
      <c r="AJ52" s="43">
        <v>3.875</v>
      </c>
      <c r="AK52" s="43">
        <v>31</v>
      </c>
      <c r="AL52" s="43" t="s">
        <v>53</v>
      </c>
      <c r="AM52" s="43">
        <v>2.25</v>
      </c>
      <c r="AN52" s="43" t="s">
        <v>50</v>
      </c>
      <c r="AO52" s="43"/>
      <c r="AP52" s="43" t="s">
        <v>51</v>
      </c>
      <c r="AR52" s="22">
        <f t="shared" si="4"/>
        <v>4</v>
      </c>
      <c r="AS52" s="22">
        <f t="shared" si="5"/>
        <v>3.4</v>
      </c>
      <c r="AT52" s="22" t="s">
        <v>52</v>
      </c>
      <c r="AU52" s="22" t="str">
        <f t="shared" si="6"/>
        <v>High</v>
      </c>
      <c r="AV52" s="22" t="str">
        <f t="shared" si="7"/>
        <v>Low</v>
      </c>
    </row>
    <row r="53" spans="1:48" x14ac:dyDescent="0.2">
      <c r="A53" s="42">
        <v>2</v>
      </c>
      <c r="B53" s="43">
        <v>5</v>
      </c>
      <c r="C53" s="43">
        <v>2</v>
      </c>
      <c r="D53" s="43">
        <v>18</v>
      </c>
      <c r="E53" s="43">
        <v>5</v>
      </c>
      <c r="F53" s="43">
        <v>4</v>
      </c>
      <c r="G53" s="43">
        <v>1</v>
      </c>
      <c r="H53" s="43">
        <v>2</v>
      </c>
      <c r="I53" s="43">
        <v>5</v>
      </c>
      <c r="J53" s="43">
        <v>4</v>
      </c>
      <c r="K53" s="43">
        <v>2</v>
      </c>
      <c r="L53" s="43">
        <v>4</v>
      </c>
      <c r="M53" s="43">
        <v>2</v>
      </c>
      <c r="N53" s="43">
        <v>1</v>
      </c>
      <c r="O53" s="43">
        <v>3</v>
      </c>
      <c r="P53" s="43">
        <v>1</v>
      </c>
      <c r="Q53" s="43">
        <v>2</v>
      </c>
      <c r="R53" s="43">
        <v>4</v>
      </c>
      <c r="S53" s="43">
        <v>4</v>
      </c>
      <c r="T53" s="43">
        <v>1</v>
      </c>
      <c r="U53" s="43">
        <v>2</v>
      </c>
      <c r="V53" s="43">
        <v>1</v>
      </c>
      <c r="W53" s="43">
        <v>1</v>
      </c>
      <c r="X53" s="43">
        <v>1</v>
      </c>
      <c r="Y53" s="43">
        <v>3</v>
      </c>
      <c r="Z53" s="43">
        <v>1</v>
      </c>
      <c r="AA53" s="43">
        <v>1</v>
      </c>
      <c r="AB53" s="43">
        <v>1</v>
      </c>
      <c r="AC53" s="43">
        <v>1</v>
      </c>
      <c r="AD53" s="43">
        <v>1</v>
      </c>
      <c r="AE53" s="43">
        <v>4</v>
      </c>
      <c r="AF53" s="43">
        <v>1</v>
      </c>
      <c r="AG53" s="43"/>
      <c r="AH53" s="43"/>
      <c r="AI53" s="43">
        <v>2</v>
      </c>
      <c r="AJ53" s="43">
        <v>1.5</v>
      </c>
      <c r="AK53" s="43">
        <v>12</v>
      </c>
      <c r="AL53" s="43" t="s">
        <v>53</v>
      </c>
      <c r="AM53" s="43">
        <v>1.5</v>
      </c>
      <c r="AN53" s="43" t="s">
        <v>50</v>
      </c>
      <c r="AO53" s="43"/>
      <c r="AP53" s="43" t="s">
        <v>51</v>
      </c>
      <c r="AR53" s="22">
        <f t="shared" si="4"/>
        <v>1.8</v>
      </c>
      <c r="AS53" s="22">
        <f t="shared" si="5"/>
        <v>1.8</v>
      </c>
      <c r="AT53" s="22" t="s">
        <v>52</v>
      </c>
      <c r="AU53" s="22" t="str">
        <f t="shared" si="6"/>
        <v>Low</v>
      </c>
      <c r="AV53" s="22" t="str">
        <f t="shared" si="7"/>
        <v>Low</v>
      </c>
    </row>
    <row r="54" spans="1:48" x14ac:dyDescent="0.2">
      <c r="A54" s="42">
        <v>1</v>
      </c>
      <c r="B54" s="43">
        <v>1</v>
      </c>
      <c r="C54" s="43">
        <v>1</v>
      </c>
      <c r="D54" s="43">
        <v>20</v>
      </c>
      <c r="E54" s="43">
        <v>5</v>
      </c>
      <c r="F54" s="43">
        <v>3</v>
      </c>
      <c r="G54" s="43">
        <v>3</v>
      </c>
      <c r="H54" s="43">
        <v>2</v>
      </c>
      <c r="I54" s="43">
        <v>5</v>
      </c>
      <c r="J54" s="43">
        <v>4</v>
      </c>
      <c r="K54" s="43">
        <v>2</v>
      </c>
      <c r="L54" s="43">
        <v>4</v>
      </c>
      <c r="M54" s="43">
        <v>2</v>
      </c>
      <c r="N54" s="43">
        <v>4</v>
      </c>
      <c r="O54" s="43">
        <v>4</v>
      </c>
      <c r="P54" s="43">
        <v>4</v>
      </c>
      <c r="Q54" s="43">
        <v>4</v>
      </c>
      <c r="R54" s="43">
        <v>1</v>
      </c>
      <c r="S54" s="43">
        <v>1</v>
      </c>
      <c r="T54" s="43">
        <v>4</v>
      </c>
      <c r="U54" s="43">
        <v>2</v>
      </c>
      <c r="V54" s="43">
        <v>2</v>
      </c>
      <c r="W54" s="43">
        <v>2</v>
      </c>
      <c r="X54" s="43">
        <v>2</v>
      </c>
      <c r="Y54" s="43">
        <v>3</v>
      </c>
      <c r="Z54" s="43">
        <v>4</v>
      </c>
      <c r="AA54" s="43">
        <v>4</v>
      </c>
      <c r="AB54" s="43">
        <v>4</v>
      </c>
      <c r="AC54" s="43">
        <v>4</v>
      </c>
      <c r="AD54" s="43">
        <v>4</v>
      </c>
      <c r="AE54" s="43">
        <v>4</v>
      </c>
      <c r="AF54" s="43">
        <v>4</v>
      </c>
      <c r="AG54" s="43"/>
      <c r="AH54" s="43"/>
      <c r="AI54" s="43">
        <v>5</v>
      </c>
      <c r="AJ54" s="43">
        <v>4.125</v>
      </c>
      <c r="AK54" s="43">
        <v>33</v>
      </c>
      <c r="AL54" s="43" t="s">
        <v>49</v>
      </c>
      <c r="AM54" s="43">
        <v>2.25</v>
      </c>
      <c r="AN54" s="43" t="s">
        <v>50</v>
      </c>
      <c r="AO54" s="43"/>
      <c r="AP54" s="43" t="s">
        <v>51</v>
      </c>
      <c r="AR54" s="22">
        <f t="shared" si="4"/>
        <v>3.2</v>
      </c>
      <c r="AS54" s="22">
        <f t="shared" si="5"/>
        <v>4</v>
      </c>
      <c r="AT54" s="22" t="s">
        <v>57</v>
      </c>
      <c r="AU54" s="22" t="str">
        <f t="shared" si="6"/>
        <v>Low</v>
      </c>
      <c r="AV54" s="22" t="str">
        <f t="shared" si="7"/>
        <v>High</v>
      </c>
    </row>
    <row r="55" spans="1:48" x14ac:dyDescent="0.2">
      <c r="A55" s="42">
        <v>2</v>
      </c>
      <c r="B55" s="43">
        <v>2</v>
      </c>
      <c r="C55" s="43">
        <v>3</v>
      </c>
      <c r="D55" s="43">
        <v>2</v>
      </c>
      <c r="E55" s="43">
        <v>5</v>
      </c>
      <c r="F55" s="43">
        <v>2</v>
      </c>
      <c r="G55" s="43">
        <v>5</v>
      </c>
      <c r="H55" s="43">
        <v>2</v>
      </c>
      <c r="I55" s="43">
        <v>3</v>
      </c>
      <c r="J55" s="43">
        <v>4</v>
      </c>
      <c r="K55" s="43">
        <v>2</v>
      </c>
      <c r="L55" s="43">
        <v>1</v>
      </c>
      <c r="M55" s="43">
        <v>5</v>
      </c>
      <c r="N55" s="43">
        <v>4</v>
      </c>
      <c r="O55" s="43">
        <v>4</v>
      </c>
      <c r="P55" s="43">
        <v>4</v>
      </c>
      <c r="Q55" s="43">
        <v>4</v>
      </c>
      <c r="R55" s="43">
        <v>1</v>
      </c>
      <c r="S55" s="43">
        <v>3</v>
      </c>
      <c r="T55" s="43">
        <v>3</v>
      </c>
      <c r="U55" s="43">
        <v>2</v>
      </c>
      <c r="V55" s="43">
        <v>5</v>
      </c>
      <c r="W55" s="43">
        <v>5</v>
      </c>
      <c r="X55" s="43">
        <v>5</v>
      </c>
      <c r="Y55" s="43">
        <v>5</v>
      </c>
      <c r="Z55" s="43">
        <v>1</v>
      </c>
      <c r="AA55" s="43">
        <v>1</v>
      </c>
      <c r="AB55" s="43">
        <v>1</v>
      </c>
      <c r="AC55" s="43">
        <v>1</v>
      </c>
      <c r="AD55" s="43">
        <v>1</v>
      </c>
      <c r="AE55" s="43">
        <v>1</v>
      </c>
      <c r="AF55" s="43">
        <v>1</v>
      </c>
      <c r="AG55" s="43"/>
      <c r="AH55" s="43"/>
      <c r="AI55" s="43">
        <v>2</v>
      </c>
      <c r="AJ55" s="43">
        <v>1.125</v>
      </c>
      <c r="AK55" s="43">
        <v>9</v>
      </c>
      <c r="AL55" s="43" t="s">
        <v>53</v>
      </c>
      <c r="AM55" s="43">
        <v>5</v>
      </c>
      <c r="AN55" s="43" t="s">
        <v>56</v>
      </c>
      <c r="AO55" s="43"/>
      <c r="AP55" s="43" t="s">
        <v>51</v>
      </c>
      <c r="AR55" s="22">
        <f t="shared" si="4"/>
        <v>3.8</v>
      </c>
      <c r="AS55" s="22">
        <f t="shared" si="5"/>
        <v>3.4</v>
      </c>
      <c r="AT55" s="22" t="s">
        <v>52</v>
      </c>
      <c r="AU55" s="22" t="str">
        <f t="shared" si="6"/>
        <v>Low</v>
      </c>
      <c r="AV55" s="22" t="str">
        <f t="shared" si="7"/>
        <v>Low</v>
      </c>
    </row>
    <row r="56" spans="1:48" x14ac:dyDescent="0.2">
      <c r="A56" s="42">
        <v>2</v>
      </c>
      <c r="B56" s="43">
        <v>1</v>
      </c>
      <c r="C56" s="43">
        <v>2</v>
      </c>
      <c r="D56" s="43">
        <v>3</v>
      </c>
      <c r="E56" s="43">
        <v>5</v>
      </c>
      <c r="F56" s="43">
        <v>2</v>
      </c>
      <c r="G56" s="43">
        <v>5</v>
      </c>
      <c r="H56" s="43">
        <v>2</v>
      </c>
      <c r="I56" s="43">
        <v>3</v>
      </c>
      <c r="J56" s="43">
        <v>4</v>
      </c>
      <c r="K56" s="43">
        <v>2</v>
      </c>
      <c r="L56" s="43">
        <v>1</v>
      </c>
      <c r="M56" s="43">
        <v>5</v>
      </c>
      <c r="N56" s="43">
        <v>4</v>
      </c>
      <c r="O56" s="43">
        <v>4</v>
      </c>
      <c r="P56" s="43">
        <v>4</v>
      </c>
      <c r="Q56" s="43">
        <v>4</v>
      </c>
      <c r="R56" s="43">
        <v>1</v>
      </c>
      <c r="S56" s="43">
        <v>1</v>
      </c>
      <c r="T56" s="43">
        <v>4</v>
      </c>
      <c r="U56" s="43">
        <v>4</v>
      </c>
      <c r="V56" s="43">
        <v>3</v>
      </c>
      <c r="W56" s="43">
        <v>3</v>
      </c>
      <c r="X56" s="43">
        <v>3</v>
      </c>
      <c r="Y56" s="43">
        <v>4</v>
      </c>
      <c r="Z56" s="43">
        <v>3</v>
      </c>
      <c r="AA56" s="43">
        <v>4</v>
      </c>
      <c r="AB56" s="43">
        <v>3</v>
      </c>
      <c r="AC56" s="43">
        <v>4</v>
      </c>
      <c r="AD56" s="43">
        <v>3</v>
      </c>
      <c r="AE56" s="43">
        <v>5</v>
      </c>
      <c r="AF56" s="43">
        <v>3</v>
      </c>
      <c r="AG56" s="43"/>
      <c r="AH56" s="43"/>
      <c r="AI56" s="43">
        <v>3</v>
      </c>
      <c r="AJ56" s="43">
        <v>3.5</v>
      </c>
      <c r="AK56" s="43">
        <v>28</v>
      </c>
      <c r="AL56" s="43" t="s">
        <v>53</v>
      </c>
      <c r="AM56" s="43">
        <v>3.25</v>
      </c>
      <c r="AN56" s="43" t="s">
        <v>50</v>
      </c>
      <c r="AO56" s="43"/>
      <c r="AP56" s="43" t="s">
        <v>51</v>
      </c>
      <c r="AR56" s="22">
        <f t="shared" si="4"/>
        <v>3.8</v>
      </c>
      <c r="AS56" s="22">
        <f t="shared" si="5"/>
        <v>4.4000000000000004</v>
      </c>
      <c r="AT56" s="22" t="s">
        <v>52</v>
      </c>
      <c r="AU56" s="22" t="str">
        <f t="shared" si="6"/>
        <v>Low</v>
      </c>
      <c r="AV56" s="22" t="str">
        <f t="shared" si="7"/>
        <v>High</v>
      </c>
    </row>
    <row r="57" spans="1:48" x14ac:dyDescent="0.2">
      <c r="A57" s="42">
        <v>1</v>
      </c>
      <c r="B57" s="43">
        <v>2</v>
      </c>
      <c r="C57" s="43">
        <v>1</v>
      </c>
      <c r="D57" s="43">
        <v>19</v>
      </c>
      <c r="E57" s="43">
        <v>2</v>
      </c>
      <c r="F57" s="43">
        <v>2</v>
      </c>
      <c r="G57" s="43">
        <v>2</v>
      </c>
      <c r="H57" s="43">
        <v>3</v>
      </c>
      <c r="I57" s="43">
        <v>2</v>
      </c>
      <c r="J57" s="43">
        <v>3</v>
      </c>
      <c r="K57" s="43">
        <v>3</v>
      </c>
      <c r="L57" s="43">
        <v>2</v>
      </c>
      <c r="M57" s="43">
        <v>4</v>
      </c>
      <c r="N57" s="43">
        <v>3</v>
      </c>
      <c r="O57" s="43">
        <v>5</v>
      </c>
      <c r="P57" s="43">
        <v>5</v>
      </c>
      <c r="Q57" s="43">
        <v>5</v>
      </c>
      <c r="R57" s="43">
        <v>2</v>
      </c>
      <c r="S57" s="43">
        <v>2</v>
      </c>
      <c r="T57" s="43">
        <v>5</v>
      </c>
      <c r="U57" s="43">
        <v>5</v>
      </c>
      <c r="V57" s="43">
        <v>3</v>
      </c>
      <c r="W57" s="43">
        <v>3</v>
      </c>
      <c r="X57" s="43">
        <v>2</v>
      </c>
      <c r="Y57" s="43">
        <v>4</v>
      </c>
      <c r="Z57" s="43">
        <v>5</v>
      </c>
      <c r="AA57" s="43">
        <v>5</v>
      </c>
      <c r="AB57" s="43">
        <v>5</v>
      </c>
      <c r="AC57" s="43">
        <v>5</v>
      </c>
      <c r="AD57" s="43">
        <v>5</v>
      </c>
      <c r="AE57" s="43">
        <v>5</v>
      </c>
      <c r="AF57" s="43">
        <v>5</v>
      </c>
      <c r="AG57" s="43"/>
      <c r="AH57" s="43"/>
      <c r="AI57" s="43">
        <v>2</v>
      </c>
      <c r="AJ57" s="43">
        <v>4.625</v>
      </c>
      <c r="AK57" s="43">
        <v>37</v>
      </c>
      <c r="AL57" s="43" t="s">
        <v>49</v>
      </c>
      <c r="AM57" s="43">
        <v>3</v>
      </c>
      <c r="AN57" s="43" t="s">
        <v>50</v>
      </c>
      <c r="AO57" s="43"/>
      <c r="AP57" s="43" t="s">
        <v>51</v>
      </c>
      <c r="AR57" s="22">
        <f t="shared" si="4"/>
        <v>4</v>
      </c>
      <c r="AS57" s="22">
        <f t="shared" si="5"/>
        <v>4.5999999999999996</v>
      </c>
      <c r="AT57" s="22" t="s">
        <v>55</v>
      </c>
      <c r="AU57" s="22" t="str">
        <f t="shared" si="6"/>
        <v>High</v>
      </c>
      <c r="AV57" s="22" t="str">
        <f t="shared" si="7"/>
        <v>High</v>
      </c>
    </row>
    <row r="58" spans="1:48" x14ac:dyDescent="0.2">
      <c r="A58" s="42">
        <v>2</v>
      </c>
      <c r="B58" s="43">
        <v>1</v>
      </c>
      <c r="C58" s="43">
        <v>2</v>
      </c>
      <c r="D58" s="43">
        <v>3</v>
      </c>
      <c r="E58" s="43">
        <v>5</v>
      </c>
      <c r="F58" s="43">
        <v>3</v>
      </c>
      <c r="G58" s="43">
        <v>1</v>
      </c>
      <c r="H58" s="43">
        <v>2</v>
      </c>
      <c r="I58" s="43">
        <v>5</v>
      </c>
      <c r="J58" s="43">
        <v>5</v>
      </c>
      <c r="K58" s="43">
        <v>1</v>
      </c>
      <c r="L58" s="43">
        <v>1</v>
      </c>
      <c r="M58" s="43">
        <v>5</v>
      </c>
      <c r="N58" s="43">
        <v>3</v>
      </c>
      <c r="O58" s="43">
        <v>3</v>
      </c>
      <c r="P58" s="43">
        <v>3</v>
      </c>
      <c r="Q58" s="43">
        <v>4</v>
      </c>
      <c r="R58" s="43">
        <v>4</v>
      </c>
      <c r="S58" s="43">
        <v>4</v>
      </c>
      <c r="T58" s="43">
        <v>4</v>
      </c>
      <c r="U58" s="43">
        <v>4</v>
      </c>
      <c r="V58" s="43">
        <v>1</v>
      </c>
      <c r="W58" s="43">
        <v>2</v>
      </c>
      <c r="X58" s="43">
        <v>3</v>
      </c>
      <c r="Y58" s="43">
        <v>4</v>
      </c>
      <c r="Z58" s="43">
        <v>1</v>
      </c>
      <c r="AA58" s="43">
        <v>2</v>
      </c>
      <c r="AB58" s="43">
        <v>4</v>
      </c>
      <c r="AC58" s="43">
        <v>5</v>
      </c>
      <c r="AD58" s="43">
        <v>4</v>
      </c>
      <c r="AE58" s="43">
        <v>3</v>
      </c>
      <c r="AF58" s="43">
        <v>2</v>
      </c>
      <c r="AG58" s="43"/>
      <c r="AH58" s="43"/>
      <c r="AI58" s="43">
        <v>5</v>
      </c>
      <c r="AJ58" s="43">
        <v>3.25</v>
      </c>
      <c r="AK58" s="43">
        <v>26</v>
      </c>
      <c r="AL58" s="43" t="s">
        <v>53</v>
      </c>
      <c r="AM58" s="43">
        <v>2.5</v>
      </c>
      <c r="AN58" s="43" t="s">
        <v>50</v>
      </c>
      <c r="AO58" s="43"/>
      <c r="AP58" s="43" t="s">
        <v>51</v>
      </c>
      <c r="AR58" s="22">
        <f t="shared" si="4"/>
        <v>3</v>
      </c>
      <c r="AS58" s="22">
        <f t="shared" si="5"/>
        <v>3.2</v>
      </c>
      <c r="AT58" s="22" t="s">
        <v>52</v>
      </c>
      <c r="AU58" s="22" t="str">
        <f t="shared" si="6"/>
        <v>Low</v>
      </c>
      <c r="AV58" s="22" t="str">
        <f t="shared" si="7"/>
        <v>Low</v>
      </c>
    </row>
    <row r="59" spans="1:48" x14ac:dyDescent="0.2">
      <c r="A59" s="42">
        <v>3</v>
      </c>
      <c r="B59" s="43">
        <v>3</v>
      </c>
      <c r="C59" s="43">
        <v>3</v>
      </c>
      <c r="D59" s="43">
        <v>10</v>
      </c>
      <c r="E59" s="43">
        <v>5</v>
      </c>
      <c r="F59" s="43">
        <v>6</v>
      </c>
      <c r="G59" s="43">
        <v>5</v>
      </c>
      <c r="H59" s="43">
        <v>2</v>
      </c>
      <c r="I59" s="43">
        <v>4</v>
      </c>
      <c r="J59" s="43">
        <v>5</v>
      </c>
      <c r="K59" s="43">
        <v>1</v>
      </c>
      <c r="L59" s="43">
        <v>4</v>
      </c>
      <c r="M59" s="43">
        <v>2</v>
      </c>
      <c r="N59" s="43">
        <v>3</v>
      </c>
      <c r="O59" s="43">
        <v>2</v>
      </c>
      <c r="P59" s="43">
        <v>1</v>
      </c>
      <c r="Q59" s="43">
        <v>1</v>
      </c>
      <c r="R59" s="43">
        <v>2</v>
      </c>
      <c r="S59" s="43">
        <v>3</v>
      </c>
      <c r="T59" s="43">
        <v>2</v>
      </c>
      <c r="U59" s="43">
        <v>1</v>
      </c>
      <c r="V59" s="43">
        <v>3</v>
      </c>
      <c r="W59" s="43">
        <v>3</v>
      </c>
      <c r="X59" s="43">
        <v>3</v>
      </c>
      <c r="Y59" s="43">
        <v>3</v>
      </c>
      <c r="Z59" s="43">
        <v>4</v>
      </c>
      <c r="AA59" s="43">
        <v>3</v>
      </c>
      <c r="AB59" s="43">
        <v>4</v>
      </c>
      <c r="AC59" s="43">
        <v>3</v>
      </c>
      <c r="AD59" s="43">
        <v>4</v>
      </c>
      <c r="AE59" s="43">
        <v>3</v>
      </c>
      <c r="AF59" s="43">
        <v>4</v>
      </c>
      <c r="AG59" s="43"/>
      <c r="AH59" s="43"/>
      <c r="AI59" s="43">
        <v>3</v>
      </c>
      <c r="AJ59" s="43">
        <v>3.5</v>
      </c>
      <c r="AK59" s="43">
        <v>28</v>
      </c>
      <c r="AL59" s="43" t="s">
        <v>53</v>
      </c>
      <c r="AM59" s="43">
        <v>3</v>
      </c>
      <c r="AN59" s="43" t="s">
        <v>50</v>
      </c>
      <c r="AO59" s="43"/>
      <c r="AP59" s="43" t="s">
        <v>51</v>
      </c>
      <c r="AR59" s="22">
        <f t="shared" si="4"/>
        <v>1.8</v>
      </c>
      <c r="AS59" s="22">
        <f t="shared" si="5"/>
        <v>2.2000000000000002</v>
      </c>
      <c r="AT59" s="22" t="s">
        <v>52</v>
      </c>
      <c r="AU59" s="22" t="str">
        <f t="shared" si="6"/>
        <v>Low</v>
      </c>
      <c r="AV59" s="22" t="str">
        <f t="shared" si="7"/>
        <v>Low</v>
      </c>
    </row>
    <row r="60" spans="1:48" x14ac:dyDescent="0.2">
      <c r="A60" s="42">
        <v>2</v>
      </c>
      <c r="B60" s="43">
        <v>1</v>
      </c>
      <c r="C60" s="43">
        <v>2</v>
      </c>
      <c r="D60" s="43">
        <v>4</v>
      </c>
      <c r="E60" s="43">
        <v>3</v>
      </c>
      <c r="F60" s="43">
        <v>4</v>
      </c>
      <c r="G60" s="43">
        <v>3</v>
      </c>
      <c r="H60" s="43">
        <v>1</v>
      </c>
      <c r="I60" s="43">
        <v>2</v>
      </c>
      <c r="J60" s="43">
        <v>4</v>
      </c>
      <c r="K60" s="43">
        <v>2</v>
      </c>
      <c r="L60" s="43">
        <v>4</v>
      </c>
      <c r="M60" s="43">
        <v>2</v>
      </c>
      <c r="N60" s="43">
        <v>5</v>
      </c>
      <c r="O60" s="43">
        <v>5</v>
      </c>
      <c r="P60" s="43">
        <v>5</v>
      </c>
      <c r="Q60" s="43">
        <v>4</v>
      </c>
      <c r="R60" s="43">
        <v>2</v>
      </c>
      <c r="S60" s="43">
        <v>2</v>
      </c>
      <c r="T60" s="43">
        <v>5</v>
      </c>
      <c r="U60" s="43">
        <v>5</v>
      </c>
      <c r="V60" s="43">
        <v>2</v>
      </c>
      <c r="W60" s="43">
        <v>3</v>
      </c>
      <c r="X60" s="43">
        <v>3</v>
      </c>
      <c r="Y60" s="43">
        <v>4</v>
      </c>
      <c r="Z60" s="43">
        <v>5</v>
      </c>
      <c r="AA60" s="43">
        <v>5</v>
      </c>
      <c r="AB60" s="43">
        <v>5</v>
      </c>
      <c r="AC60" s="43">
        <v>5</v>
      </c>
      <c r="AD60" s="43">
        <v>5</v>
      </c>
      <c r="AE60" s="43">
        <v>5</v>
      </c>
      <c r="AF60" s="43">
        <v>5</v>
      </c>
      <c r="AG60" s="43"/>
      <c r="AH60" s="43"/>
      <c r="AI60" s="43">
        <v>3</v>
      </c>
      <c r="AJ60" s="43">
        <v>4.75</v>
      </c>
      <c r="AK60" s="43">
        <v>38</v>
      </c>
      <c r="AL60" s="43" t="s">
        <v>49</v>
      </c>
      <c r="AM60" s="43">
        <v>3</v>
      </c>
      <c r="AN60" s="43" t="s">
        <v>50</v>
      </c>
      <c r="AO60" s="43"/>
      <c r="AP60" s="43" t="s">
        <v>51</v>
      </c>
      <c r="AR60" s="22">
        <f t="shared" si="4"/>
        <v>3.8</v>
      </c>
      <c r="AS60" s="22">
        <f t="shared" si="5"/>
        <v>4.4000000000000004</v>
      </c>
      <c r="AT60" s="22" t="s">
        <v>52</v>
      </c>
      <c r="AU60" s="22" t="str">
        <f t="shared" si="6"/>
        <v>Low</v>
      </c>
      <c r="AV60" s="22" t="str">
        <f t="shared" si="7"/>
        <v>High</v>
      </c>
    </row>
    <row r="61" spans="1:48" x14ac:dyDescent="0.2">
      <c r="A61" s="42">
        <v>1</v>
      </c>
      <c r="B61" s="43">
        <v>4</v>
      </c>
      <c r="C61" s="43">
        <v>3</v>
      </c>
      <c r="D61" s="43">
        <v>15</v>
      </c>
      <c r="E61" s="43">
        <v>5</v>
      </c>
      <c r="F61" s="43">
        <v>6</v>
      </c>
      <c r="G61" s="43">
        <v>5</v>
      </c>
      <c r="H61" s="43">
        <v>1</v>
      </c>
      <c r="I61" s="43">
        <v>1</v>
      </c>
      <c r="J61" s="43">
        <v>5</v>
      </c>
      <c r="K61" s="43">
        <v>1</v>
      </c>
      <c r="L61" s="43">
        <v>3</v>
      </c>
      <c r="M61" s="43">
        <v>3</v>
      </c>
      <c r="N61" s="43">
        <v>5</v>
      </c>
      <c r="O61" s="43">
        <v>5</v>
      </c>
      <c r="P61" s="43">
        <v>3</v>
      </c>
      <c r="Q61" s="43">
        <v>5</v>
      </c>
      <c r="R61" s="43">
        <v>1</v>
      </c>
      <c r="S61" s="43">
        <v>1</v>
      </c>
      <c r="T61" s="43">
        <v>5</v>
      </c>
      <c r="U61" s="43">
        <v>5</v>
      </c>
      <c r="V61" s="43">
        <v>2</v>
      </c>
      <c r="W61" s="43">
        <v>2</v>
      </c>
      <c r="X61" s="43">
        <v>2</v>
      </c>
      <c r="Y61" s="43">
        <v>3</v>
      </c>
      <c r="Z61" s="43">
        <v>5</v>
      </c>
      <c r="AA61" s="43">
        <v>5</v>
      </c>
      <c r="AB61" s="43">
        <v>5</v>
      </c>
      <c r="AC61" s="43">
        <v>5</v>
      </c>
      <c r="AD61" s="43">
        <v>5</v>
      </c>
      <c r="AE61" s="43">
        <v>5</v>
      </c>
      <c r="AF61" s="43">
        <v>5</v>
      </c>
      <c r="AG61" s="43"/>
      <c r="AH61" s="43"/>
      <c r="AI61" s="43">
        <v>3</v>
      </c>
      <c r="AJ61" s="43">
        <v>4.75</v>
      </c>
      <c r="AK61" s="43">
        <v>38</v>
      </c>
      <c r="AL61" s="43" t="s">
        <v>49</v>
      </c>
      <c r="AM61" s="43">
        <v>2.25</v>
      </c>
      <c r="AN61" s="43" t="s">
        <v>50</v>
      </c>
      <c r="AO61" s="43"/>
      <c r="AP61" s="43" t="s">
        <v>51</v>
      </c>
      <c r="AR61" s="22">
        <f t="shared" si="4"/>
        <v>3.4</v>
      </c>
      <c r="AS61" s="22">
        <f t="shared" si="5"/>
        <v>5</v>
      </c>
      <c r="AT61" s="22" t="s">
        <v>52</v>
      </c>
      <c r="AU61" s="22" t="str">
        <f t="shared" si="6"/>
        <v>Low</v>
      </c>
      <c r="AV61" s="22" t="str">
        <f t="shared" si="7"/>
        <v>High</v>
      </c>
    </row>
    <row r="62" spans="1:48" x14ac:dyDescent="0.2">
      <c r="A62" s="42">
        <v>1</v>
      </c>
      <c r="B62" s="43">
        <v>1</v>
      </c>
      <c r="C62" s="43">
        <v>1</v>
      </c>
      <c r="D62" s="43">
        <v>6</v>
      </c>
      <c r="E62" s="43">
        <v>5</v>
      </c>
      <c r="F62" s="43">
        <v>3</v>
      </c>
      <c r="G62" s="43">
        <v>1</v>
      </c>
      <c r="H62" s="43">
        <v>2</v>
      </c>
      <c r="I62" s="43">
        <v>4</v>
      </c>
      <c r="J62" s="43">
        <v>5</v>
      </c>
      <c r="K62" s="43">
        <v>1</v>
      </c>
      <c r="L62" s="43">
        <v>1</v>
      </c>
      <c r="M62" s="43">
        <v>5</v>
      </c>
      <c r="N62" s="43">
        <v>5</v>
      </c>
      <c r="O62" s="43">
        <v>5</v>
      </c>
      <c r="P62" s="43">
        <v>5</v>
      </c>
      <c r="Q62" s="43">
        <v>4</v>
      </c>
      <c r="R62" s="43">
        <v>4</v>
      </c>
      <c r="S62" s="43">
        <v>2</v>
      </c>
      <c r="T62" s="43">
        <v>5</v>
      </c>
      <c r="U62" s="43">
        <v>5</v>
      </c>
      <c r="V62" s="43">
        <v>3</v>
      </c>
      <c r="W62" s="43">
        <v>3</v>
      </c>
      <c r="X62" s="43">
        <v>3</v>
      </c>
      <c r="Y62" s="43">
        <v>3</v>
      </c>
      <c r="Z62" s="43">
        <v>4</v>
      </c>
      <c r="AA62" s="43">
        <v>4</v>
      </c>
      <c r="AB62" s="43">
        <v>4</v>
      </c>
      <c r="AC62" s="43">
        <v>4</v>
      </c>
      <c r="AD62" s="43">
        <v>4</v>
      </c>
      <c r="AE62" s="43">
        <v>4</v>
      </c>
      <c r="AF62" s="43">
        <v>4</v>
      </c>
      <c r="AG62" s="43"/>
      <c r="AH62" s="43"/>
      <c r="AI62" s="43">
        <v>4</v>
      </c>
      <c r="AJ62" s="43">
        <v>4</v>
      </c>
      <c r="AK62" s="43">
        <v>32</v>
      </c>
      <c r="AL62" s="43" t="s">
        <v>49</v>
      </c>
      <c r="AM62" s="43">
        <v>3</v>
      </c>
      <c r="AN62" s="43" t="s">
        <v>50</v>
      </c>
      <c r="AO62" s="43"/>
      <c r="AP62" s="43" t="s">
        <v>51</v>
      </c>
      <c r="AR62" s="22">
        <f t="shared" si="4"/>
        <v>4.2</v>
      </c>
      <c r="AS62" s="22">
        <f t="shared" si="5"/>
        <v>4</v>
      </c>
      <c r="AT62" s="22" t="s">
        <v>52</v>
      </c>
      <c r="AU62" s="22" t="str">
        <f t="shared" si="6"/>
        <v>High</v>
      </c>
      <c r="AV62" s="22" t="str">
        <f t="shared" si="7"/>
        <v>High</v>
      </c>
    </row>
    <row r="63" spans="1:48" x14ac:dyDescent="0.2">
      <c r="A63" s="42">
        <v>1</v>
      </c>
      <c r="B63" s="43">
        <v>3</v>
      </c>
      <c r="C63" s="43">
        <v>3</v>
      </c>
      <c r="D63" s="43">
        <v>4</v>
      </c>
      <c r="E63" s="43">
        <v>3</v>
      </c>
      <c r="F63" s="43">
        <v>3</v>
      </c>
      <c r="G63" s="43">
        <v>1</v>
      </c>
      <c r="H63" s="43">
        <v>3</v>
      </c>
      <c r="I63" s="43">
        <v>3</v>
      </c>
      <c r="J63" s="43">
        <v>3</v>
      </c>
      <c r="K63" s="43">
        <v>3</v>
      </c>
      <c r="L63" s="43">
        <v>3</v>
      </c>
      <c r="M63" s="43">
        <v>3</v>
      </c>
      <c r="N63" s="43">
        <v>3</v>
      </c>
      <c r="O63" s="43">
        <v>3</v>
      </c>
      <c r="P63" s="43">
        <v>3</v>
      </c>
      <c r="Q63" s="43">
        <v>5</v>
      </c>
      <c r="R63" s="43">
        <v>5</v>
      </c>
      <c r="S63" s="43">
        <v>3</v>
      </c>
      <c r="T63" s="43">
        <v>5</v>
      </c>
      <c r="U63" s="43">
        <v>3</v>
      </c>
      <c r="V63" s="43">
        <v>4</v>
      </c>
      <c r="W63" s="43">
        <v>4</v>
      </c>
      <c r="X63" s="43">
        <v>4</v>
      </c>
      <c r="Y63" s="43">
        <v>5</v>
      </c>
      <c r="Z63" s="43">
        <v>3</v>
      </c>
      <c r="AA63" s="43">
        <v>3</v>
      </c>
      <c r="AB63" s="43">
        <v>3</v>
      </c>
      <c r="AC63" s="43">
        <v>3</v>
      </c>
      <c r="AD63" s="43">
        <v>3</v>
      </c>
      <c r="AE63" s="43">
        <v>3</v>
      </c>
      <c r="AF63" s="43">
        <v>3</v>
      </c>
      <c r="AG63" s="43"/>
      <c r="AH63" s="43"/>
      <c r="AI63" s="43">
        <v>4</v>
      </c>
      <c r="AJ63" s="43">
        <v>3.125</v>
      </c>
      <c r="AK63" s="43">
        <v>25</v>
      </c>
      <c r="AL63" s="43" t="s">
        <v>53</v>
      </c>
      <c r="AM63" s="43">
        <v>4.25</v>
      </c>
      <c r="AN63" s="43" t="s">
        <v>56</v>
      </c>
      <c r="AO63" s="43"/>
      <c r="AP63" s="43" t="s">
        <v>51</v>
      </c>
      <c r="AR63" s="22">
        <f t="shared" si="4"/>
        <v>3</v>
      </c>
      <c r="AS63" s="22">
        <f t="shared" si="5"/>
        <v>3.4</v>
      </c>
      <c r="AT63" s="22" t="s">
        <v>52</v>
      </c>
      <c r="AU63" s="22" t="str">
        <f t="shared" si="6"/>
        <v>Low</v>
      </c>
      <c r="AV63" s="22" t="str">
        <f t="shared" si="7"/>
        <v>Low</v>
      </c>
    </row>
    <row r="64" spans="1:48" x14ac:dyDescent="0.2">
      <c r="A64" s="42">
        <v>1</v>
      </c>
      <c r="B64" s="43">
        <v>3</v>
      </c>
      <c r="C64" s="43">
        <v>2</v>
      </c>
      <c r="D64" s="43">
        <v>4</v>
      </c>
      <c r="E64" s="43">
        <v>3</v>
      </c>
      <c r="F64" s="43">
        <v>2</v>
      </c>
      <c r="G64" s="43">
        <v>3</v>
      </c>
      <c r="H64" s="43">
        <v>5</v>
      </c>
      <c r="I64" s="43">
        <v>2</v>
      </c>
      <c r="J64" s="43">
        <v>3</v>
      </c>
      <c r="K64" s="43">
        <v>3</v>
      </c>
      <c r="L64" s="43">
        <v>3</v>
      </c>
      <c r="M64" s="43">
        <v>3</v>
      </c>
      <c r="N64" s="43">
        <v>3</v>
      </c>
      <c r="O64" s="43">
        <v>3</v>
      </c>
      <c r="P64" s="43">
        <v>3</v>
      </c>
      <c r="Q64" s="43">
        <v>3</v>
      </c>
      <c r="R64" s="43">
        <v>3</v>
      </c>
      <c r="S64" s="43">
        <v>3</v>
      </c>
      <c r="T64" s="43">
        <v>3</v>
      </c>
      <c r="U64" s="43">
        <v>3</v>
      </c>
      <c r="V64" s="43">
        <v>4</v>
      </c>
      <c r="W64" s="43">
        <v>4</v>
      </c>
      <c r="X64" s="43">
        <v>4</v>
      </c>
      <c r="Y64" s="43">
        <v>4</v>
      </c>
      <c r="Z64" s="43">
        <v>3</v>
      </c>
      <c r="AA64" s="43">
        <v>3</v>
      </c>
      <c r="AB64" s="43">
        <v>3</v>
      </c>
      <c r="AC64" s="43">
        <v>3</v>
      </c>
      <c r="AD64" s="43">
        <v>3</v>
      </c>
      <c r="AE64" s="43">
        <v>3</v>
      </c>
      <c r="AF64" s="43">
        <v>3</v>
      </c>
      <c r="AG64" s="43"/>
      <c r="AH64" s="43"/>
      <c r="AI64" s="43">
        <v>3</v>
      </c>
      <c r="AJ64" s="43">
        <v>3</v>
      </c>
      <c r="AK64" s="43">
        <v>24</v>
      </c>
      <c r="AL64" s="43" t="s">
        <v>53</v>
      </c>
      <c r="AM64" s="43">
        <v>4</v>
      </c>
      <c r="AN64" s="43" t="s">
        <v>56</v>
      </c>
      <c r="AO64" s="43"/>
      <c r="AP64" s="43" t="s">
        <v>54</v>
      </c>
      <c r="AR64" s="22">
        <f t="shared" si="4"/>
        <v>3</v>
      </c>
      <c r="AS64" s="22">
        <f t="shared" si="5"/>
        <v>3</v>
      </c>
      <c r="AT64" s="22" t="s">
        <v>52</v>
      </c>
      <c r="AU64" s="22" t="str">
        <f t="shared" si="6"/>
        <v>Low</v>
      </c>
      <c r="AV64" s="22" t="str">
        <f t="shared" si="7"/>
        <v>Low</v>
      </c>
    </row>
    <row r="65" spans="1:48" x14ac:dyDescent="0.2">
      <c r="A65" s="42">
        <v>1</v>
      </c>
      <c r="B65" s="43">
        <v>4</v>
      </c>
      <c r="C65" s="43">
        <v>3</v>
      </c>
      <c r="D65" s="43">
        <v>21</v>
      </c>
      <c r="E65" s="43">
        <v>5</v>
      </c>
      <c r="F65" s="43">
        <v>3</v>
      </c>
      <c r="G65" s="43">
        <v>5</v>
      </c>
      <c r="H65" s="43">
        <v>1</v>
      </c>
      <c r="I65" s="43">
        <v>5</v>
      </c>
      <c r="J65" s="43">
        <v>5</v>
      </c>
      <c r="K65" s="43">
        <v>1</v>
      </c>
      <c r="L65" s="43">
        <v>5</v>
      </c>
      <c r="M65" s="43">
        <v>1</v>
      </c>
      <c r="N65" s="43">
        <v>4</v>
      </c>
      <c r="O65" s="43">
        <v>5</v>
      </c>
      <c r="P65" s="43">
        <v>5</v>
      </c>
      <c r="Q65" s="43">
        <v>5</v>
      </c>
      <c r="R65" s="43">
        <v>1</v>
      </c>
      <c r="S65" s="43">
        <v>3</v>
      </c>
      <c r="T65" s="43">
        <v>5</v>
      </c>
      <c r="U65" s="43">
        <v>3</v>
      </c>
      <c r="V65" s="43">
        <v>5</v>
      </c>
      <c r="W65" s="43">
        <v>5</v>
      </c>
      <c r="X65" s="43">
        <v>5</v>
      </c>
      <c r="Y65" s="43">
        <v>5</v>
      </c>
      <c r="Z65" s="43">
        <v>5</v>
      </c>
      <c r="AA65" s="43">
        <v>5</v>
      </c>
      <c r="AB65" s="43">
        <v>5</v>
      </c>
      <c r="AC65" s="43">
        <v>5</v>
      </c>
      <c r="AD65" s="43">
        <v>5</v>
      </c>
      <c r="AE65" s="43">
        <v>5</v>
      </c>
      <c r="AF65" s="43">
        <v>5</v>
      </c>
      <c r="AG65" s="43"/>
      <c r="AH65" s="43"/>
      <c r="AI65" s="43">
        <v>3</v>
      </c>
      <c r="AJ65" s="43">
        <v>4.75</v>
      </c>
      <c r="AK65" s="43">
        <v>38</v>
      </c>
      <c r="AL65" s="43" t="s">
        <v>49</v>
      </c>
      <c r="AM65" s="43">
        <v>5</v>
      </c>
      <c r="AN65" s="43" t="s">
        <v>56</v>
      </c>
      <c r="AO65" s="43"/>
      <c r="AP65" s="43" t="s">
        <v>51</v>
      </c>
      <c r="AR65" s="22">
        <f t="shared" si="4"/>
        <v>3.2</v>
      </c>
      <c r="AS65" s="22">
        <f t="shared" si="5"/>
        <v>4.2</v>
      </c>
      <c r="AT65" s="22" t="s">
        <v>57</v>
      </c>
      <c r="AU65" s="22" t="str">
        <f t="shared" si="6"/>
        <v>Low</v>
      </c>
      <c r="AV65" s="22" t="str">
        <f t="shared" si="7"/>
        <v>High</v>
      </c>
    </row>
    <row r="66" spans="1:48" x14ac:dyDescent="0.2">
      <c r="A66" s="42">
        <v>2</v>
      </c>
      <c r="B66" s="43">
        <v>1</v>
      </c>
      <c r="C66" s="43">
        <v>2</v>
      </c>
      <c r="D66" s="43">
        <v>3</v>
      </c>
      <c r="E66" s="43">
        <v>5</v>
      </c>
      <c r="F66" s="43">
        <v>3</v>
      </c>
      <c r="G66" s="43">
        <v>1</v>
      </c>
      <c r="H66" s="43">
        <v>2</v>
      </c>
      <c r="I66" s="43">
        <v>4</v>
      </c>
      <c r="J66" s="43">
        <v>5</v>
      </c>
      <c r="K66" s="43">
        <v>1</v>
      </c>
      <c r="L66" s="43">
        <v>3</v>
      </c>
      <c r="M66" s="43">
        <v>3</v>
      </c>
      <c r="N66" s="43">
        <v>5</v>
      </c>
      <c r="O66" s="43">
        <v>5</v>
      </c>
      <c r="P66" s="43">
        <v>5</v>
      </c>
      <c r="Q66" s="43">
        <v>5</v>
      </c>
      <c r="R66" s="43">
        <v>5</v>
      </c>
      <c r="S66" s="43">
        <v>1</v>
      </c>
      <c r="T66" s="43">
        <v>5</v>
      </c>
      <c r="U66" s="43">
        <v>3</v>
      </c>
      <c r="V66" s="43">
        <v>1</v>
      </c>
      <c r="W66" s="43">
        <v>5</v>
      </c>
      <c r="X66" s="43">
        <v>5</v>
      </c>
      <c r="Y66" s="43">
        <v>3</v>
      </c>
      <c r="Z66" s="43">
        <v>3</v>
      </c>
      <c r="AA66" s="43">
        <v>5</v>
      </c>
      <c r="AB66" s="43">
        <v>3</v>
      </c>
      <c r="AC66" s="43">
        <v>5</v>
      </c>
      <c r="AD66" s="43">
        <v>3</v>
      </c>
      <c r="AE66" s="43">
        <v>5</v>
      </c>
      <c r="AF66" s="43">
        <v>3</v>
      </c>
      <c r="AG66" s="43"/>
      <c r="AH66" s="43"/>
      <c r="AI66" s="43">
        <v>4</v>
      </c>
      <c r="AJ66" s="43">
        <v>3.875</v>
      </c>
      <c r="AK66" s="43">
        <v>31</v>
      </c>
      <c r="AL66" s="43" t="s">
        <v>53</v>
      </c>
      <c r="AM66" s="43">
        <v>3.5</v>
      </c>
      <c r="AN66" s="43" t="s">
        <v>50</v>
      </c>
      <c r="AO66" s="43"/>
      <c r="AP66" s="43" t="s">
        <v>51</v>
      </c>
      <c r="AR66" s="22">
        <f t="shared" si="4"/>
        <v>3.8</v>
      </c>
      <c r="AS66" s="22">
        <f t="shared" si="5"/>
        <v>3.8</v>
      </c>
      <c r="AT66" s="22" t="s">
        <v>52</v>
      </c>
      <c r="AU66" s="22" t="str">
        <f t="shared" si="6"/>
        <v>Low</v>
      </c>
      <c r="AV66" s="22" t="str">
        <f t="shared" si="7"/>
        <v>Low</v>
      </c>
    </row>
    <row r="67" spans="1:48" x14ac:dyDescent="0.2">
      <c r="A67" s="42">
        <v>2</v>
      </c>
      <c r="B67" s="43">
        <v>1</v>
      </c>
      <c r="C67" s="43">
        <v>1</v>
      </c>
      <c r="D67" s="43">
        <v>3</v>
      </c>
      <c r="E67" s="43">
        <v>5</v>
      </c>
      <c r="F67" s="43">
        <v>3</v>
      </c>
      <c r="G67" s="43">
        <v>2</v>
      </c>
      <c r="H67" s="43">
        <v>2</v>
      </c>
      <c r="I67" s="43">
        <v>5</v>
      </c>
      <c r="J67" s="43">
        <v>5</v>
      </c>
      <c r="K67" s="43">
        <v>1</v>
      </c>
      <c r="L67" s="43">
        <v>3</v>
      </c>
      <c r="M67" s="43">
        <v>3</v>
      </c>
      <c r="N67" s="43">
        <v>5</v>
      </c>
      <c r="O67" s="43">
        <v>5</v>
      </c>
      <c r="P67" s="43">
        <v>5</v>
      </c>
      <c r="Q67" s="43">
        <v>5</v>
      </c>
      <c r="R67" s="43">
        <v>3</v>
      </c>
      <c r="S67" s="43">
        <v>3</v>
      </c>
      <c r="T67" s="43">
        <v>5</v>
      </c>
      <c r="U67" s="43">
        <v>4</v>
      </c>
      <c r="V67" s="43">
        <v>2</v>
      </c>
      <c r="W67" s="43">
        <v>2</v>
      </c>
      <c r="X67" s="43">
        <v>2</v>
      </c>
      <c r="Y67" s="43">
        <v>3</v>
      </c>
      <c r="Z67" s="43">
        <v>5</v>
      </c>
      <c r="AA67" s="43">
        <v>5</v>
      </c>
      <c r="AB67" s="43">
        <v>5</v>
      </c>
      <c r="AC67" s="43">
        <v>5</v>
      </c>
      <c r="AD67" s="43">
        <v>5</v>
      </c>
      <c r="AE67" s="43">
        <v>5</v>
      </c>
      <c r="AF67" s="43">
        <v>5</v>
      </c>
      <c r="AG67" s="43"/>
      <c r="AH67" s="43"/>
      <c r="AI67" s="43">
        <v>5</v>
      </c>
      <c r="AJ67" s="43">
        <v>5</v>
      </c>
      <c r="AK67" s="43">
        <v>40</v>
      </c>
      <c r="AL67" s="43" t="s">
        <v>49</v>
      </c>
      <c r="AM67" s="43">
        <v>2.25</v>
      </c>
      <c r="AN67" s="43" t="s">
        <v>50</v>
      </c>
      <c r="AO67" s="43"/>
      <c r="AP67" s="43" t="s">
        <v>51</v>
      </c>
      <c r="AR67" s="22">
        <f t="shared" si="4"/>
        <v>3.8</v>
      </c>
      <c r="AS67" s="22">
        <f t="shared" si="5"/>
        <v>4</v>
      </c>
      <c r="AT67" s="22" t="s">
        <v>52</v>
      </c>
      <c r="AU67" s="22" t="str">
        <f t="shared" si="6"/>
        <v>Low</v>
      </c>
      <c r="AV67" s="22" t="str">
        <f t="shared" si="7"/>
        <v>High</v>
      </c>
    </row>
    <row r="68" spans="1:48" x14ac:dyDescent="0.2">
      <c r="A68" s="42">
        <v>2</v>
      </c>
      <c r="B68" s="43">
        <v>2</v>
      </c>
      <c r="C68" s="43">
        <v>2</v>
      </c>
      <c r="D68" s="43">
        <v>3</v>
      </c>
      <c r="E68" s="43">
        <v>5</v>
      </c>
      <c r="F68" s="43">
        <v>2</v>
      </c>
      <c r="G68" s="43">
        <v>5</v>
      </c>
      <c r="H68" s="43">
        <v>1</v>
      </c>
      <c r="I68" s="43">
        <v>1</v>
      </c>
      <c r="J68" s="43">
        <v>5</v>
      </c>
      <c r="K68" s="43">
        <v>1</v>
      </c>
      <c r="L68" s="43">
        <v>1</v>
      </c>
      <c r="M68" s="43">
        <v>5</v>
      </c>
      <c r="N68" s="43">
        <v>5</v>
      </c>
      <c r="O68" s="43">
        <v>5</v>
      </c>
      <c r="P68" s="43">
        <v>3</v>
      </c>
      <c r="Q68" s="43">
        <v>5</v>
      </c>
      <c r="R68" s="43">
        <v>1</v>
      </c>
      <c r="S68" s="43">
        <v>1</v>
      </c>
      <c r="T68" s="43">
        <v>5</v>
      </c>
      <c r="U68" s="43">
        <v>5</v>
      </c>
      <c r="V68" s="43">
        <v>3</v>
      </c>
      <c r="W68" s="43">
        <v>5</v>
      </c>
      <c r="X68" s="43">
        <v>5</v>
      </c>
      <c r="Y68" s="43">
        <v>3</v>
      </c>
      <c r="Z68" s="43">
        <v>3</v>
      </c>
      <c r="AA68" s="43">
        <v>3</v>
      </c>
      <c r="AB68" s="43">
        <v>3</v>
      </c>
      <c r="AC68" s="43">
        <v>3</v>
      </c>
      <c r="AD68" s="43">
        <v>3</v>
      </c>
      <c r="AE68" s="43">
        <v>3</v>
      </c>
      <c r="AF68" s="43">
        <v>3</v>
      </c>
      <c r="AG68" s="43"/>
      <c r="AH68" s="43"/>
      <c r="AI68" s="43">
        <v>3</v>
      </c>
      <c r="AJ68" s="43">
        <v>3</v>
      </c>
      <c r="AK68" s="43">
        <v>24</v>
      </c>
      <c r="AL68" s="43" t="s">
        <v>53</v>
      </c>
      <c r="AM68" s="43">
        <v>4</v>
      </c>
      <c r="AN68" s="43" t="s">
        <v>56</v>
      </c>
      <c r="AO68" s="43"/>
      <c r="AP68" s="43" t="s">
        <v>51</v>
      </c>
      <c r="AR68" s="22">
        <f t="shared" si="4"/>
        <v>3.8</v>
      </c>
      <c r="AS68" s="22">
        <f t="shared" si="5"/>
        <v>5</v>
      </c>
      <c r="AT68" s="22" t="s">
        <v>52</v>
      </c>
      <c r="AU68" s="22" t="str">
        <f t="shared" si="6"/>
        <v>Low</v>
      </c>
      <c r="AV68" s="22" t="str">
        <f t="shared" si="7"/>
        <v>High</v>
      </c>
    </row>
    <row r="69" spans="1:48" x14ac:dyDescent="0.2">
      <c r="A69" s="42">
        <v>3</v>
      </c>
      <c r="B69" s="43">
        <v>4</v>
      </c>
      <c r="C69" s="43">
        <v>2</v>
      </c>
      <c r="D69" s="43">
        <v>13</v>
      </c>
      <c r="E69" s="43">
        <v>5</v>
      </c>
      <c r="F69" s="43">
        <v>2</v>
      </c>
      <c r="G69" s="43">
        <v>5</v>
      </c>
      <c r="H69" s="43">
        <v>1</v>
      </c>
      <c r="I69" s="43">
        <v>4</v>
      </c>
      <c r="J69" s="43">
        <v>5</v>
      </c>
      <c r="K69" s="43">
        <v>1</v>
      </c>
      <c r="L69" s="43">
        <v>1</v>
      </c>
      <c r="M69" s="43">
        <v>5</v>
      </c>
      <c r="N69" s="43">
        <v>5</v>
      </c>
      <c r="O69" s="43">
        <v>5</v>
      </c>
      <c r="P69" s="43">
        <v>5</v>
      </c>
      <c r="Q69" s="43">
        <v>4</v>
      </c>
      <c r="R69" s="43">
        <v>2</v>
      </c>
      <c r="S69" s="43">
        <v>2</v>
      </c>
      <c r="T69" s="43">
        <v>4</v>
      </c>
      <c r="U69" s="43">
        <v>4</v>
      </c>
      <c r="V69" s="43">
        <v>5</v>
      </c>
      <c r="W69" s="43">
        <v>5</v>
      </c>
      <c r="X69" s="43">
        <v>5</v>
      </c>
      <c r="Y69" s="43">
        <v>5</v>
      </c>
      <c r="Z69" s="43">
        <v>5</v>
      </c>
      <c r="AA69" s="43">
        <v>5</v>
      </c>
      <c r="AB69" s="43">
        <v>5</v>
      </c>
      <c r="AC69" s="43">
        <v>5</v>
      </c>
      <c r="AD69" s="43">
        <v>5</v>
      </c>
      <c r="AE69" s="43">
        <v>5</v>
      </c>
      <c r="AF69" s="43">
        <v>5</v>
      </c>
      <c r="AG69" s="43"/>
      <c r="AH69" s="43"/>
      <c r="AI69" s="43">
        <v>5</v>
      </c>
      <c r="AJ69" s="43">
        <v>5</v>
      </c>
      <c r="AK69" s="43">
        <v>40</v>
      </c>
      <c r="AL69" s="43" t="s">
        <v>49</v>
      </c>
      <c r="AM69" s="43">
        <v>5</v>
      </c>
      <c r="AN69" s="43" t="s">
        <v>56</v>
      </c>
      <c r="AO69" s="43"/>
      <c r="AP69" s="43" t="s">
        <v>51</v>
      </c>
      <c r="AR69" s="22">
        <f t="shared" si="4"/>
        <v>4.2</v>
      </c>
      <c r="AS69" s="22">
        <f t="shared" si="5"/>
        <v>4</v>
      </c>
      <c r="AT69" s="22" t="s">
        <v>52</v>
      </c>
      <c r="AU69" s="22" t="str">
        <f t="shared" si="6"/>
        <v>High</v>
      </c>
      <c r="AV69" s="22" t="str">
        <f t="shared" si="7"/>
        <v>High</v>
      </c>
    </row>
    <row r="70" spans="1:48" x14ac:dyDescent="0.2">
      <c r="A70" s="42">
        <v>3</v>
      </c>
      <c r="B70" s="43">
        <v>4</v>
      </c>
      <c r="C70" s="43">
        <v>2</v>
      </c>
      <c r="D70" s="43">
        <v>13</v>
      </c>
      <c r="E70" s="43">
        <v>5</v>
      </c>
      <c r="F70" s="43">
        <v>3</v>
      </c>
      <c r="G70" s="43">
        <v>5</v>
      </c>
      <c r="H70" s="43">
        <v>1</v>
      </c>
      <c r="I70" s="43">
        <v>1</v>
      </c>
      <c r="J70" s="43">
        <v>5</v>
      </c>
      <c r="K70" s="43">
        <v>1</v>
      </c>
      <c r="L70" s="43">
        <v>1</v>
      </c>
      <c r="M70" s="43">
        <v>5</v>
      </c>
      <c r="N70" s="43">
        <v>5</v>
      </c>
      <c r="O70" s="43">
        <v>5</v>
      </c>
      <c r="P70" s="43">
        <v>5</v>
      </c>
      <c r="Q70" s="43">
        <v>5</v>
      </c>
      <c r="R70" s="43">
        <v>1</v>
      </c>
      <c r="S70" s="43">
        <v>5</v>
      </c>
      <c r="T70" s="43">
        <v>5</v>
      </c>
      <c r="U70" s="43">
        <v>3</v>
      </c>
      <c r="V70" s="43">
        <v>5</v>
      </c>
      <c r="W70" s="43">
        <v>5</v>
      </c>
      <c r="X70" s="43">
        <v>5</v>
      </c>
      <c r="Y70" s="43">
        <v>5</v>
      </c>
      <c r="Z70" s="43">
        <v>5</v>
      </c>
      <c r="AA70" s="43">
        <v>5</v>
      </c>
      <c r="AB70" s="43">
        <v>5</v>
      </c>
      <c r="AC70" s="43">
        <v>5</v>
      </c>
      <c r="AD70" s="43">
        <v>5</v>
      </c>
      <c r="AE70" s="43">
        <v>5</v>
      </c>
      <c r="AF70" s="43">
        <v>5</v>
      </c>
      <c r="AG70" s="43"/>
      <c r="AH70" s="43"/>
      <c r="AI70" s="43">
        <v>5</v>
      </c>
      <c r="AJ70" s="43">
        <v>5</v>
      </c>
      <c r="AK70" s="43">
        <v>40</v>
      </c>
      <c r="AL70" s="43" t="s">
        <v>49</v>
      </c>
      <c r="AM70" s="43">
        <v>5</v>
      </c>
      <c r="AN70" s="43" t="s">
        <v>56</v>
      </c>
      <c r="AO70" s="43"/>
      <c r="AP70" s="43" t="s">
        <v>51</v>
      </c>
      <c r="AR70" s="22">
        <f t="shared" si="4"/>
        <v>4.2</v>
      </c>
      <c r="AS70" s="22">
        <f t="shared" si="5"/>
        <v>3.8</v>
      </c>
      <c r="AT70" s="22" t="s">
        <v>52</v>
      </c>
      <c r="AU70" s="22" t="str">
        <f t="shared" si="6"/>
        <v>High</v>
      </c>
      <c r="AV70" s="22" t="str">
        <f t="shared" si="7"/>
        <v>Low</v>
      </c>
    </row>
    <row r="71" spans="1:48" x14ac:dyDescent="0.2">
      <c r="A71" s="42">
        <v>1</v>
      </c>
      <c r="B71" s="43">
        <v>3</v>
      </c>
      <c r="C71" s="43">
        <v>2</v>
      </c>
      <c r="D71" s="43">
        <v>5</v>
      </c>
      <c r="E71" s="43">
        <v>5</v>
      </c>
      <c r="F71" s="43">
        <v>3</v>
      </c>
      <c r="G71" s="43">
        <v>1</v>
      </c>
      <c r="H71" s="43">
        <v>5</v>
      </c>
      <c r="I71" s="43">
        <v>5</v>
      </c>
      <c r="J71" s="43">
        <v>5</v>
      </c>
      <c r="K71" s="43">
        <v>1</v>
      </c>
      <c r="L71" s="43">
        <v>1</v>
      </c>
      <c r="M71" s="43">
        <v>5</v>
      </c>
      <c r="N71" s="43">
        <v>5</v>
      </c>
      <c r="O71" s="43">
        <v>5</v>
      </c>
      <c r="P71" s="43">
        <v>5</v>
      </c>
      <c r="Q71" s="43">
        <v>5</v>
      </c>
      <c r="R71" s="43">
        <v>1</v>
      </c>
      <c r="S71" s="43">
        <v>1</v>
      </c>
      <c r="T71" s="43">
        <v>5</v>
      </c>
      <c r="U71" s="43">
        <v>5</v>
      </c>
      <c r="V71" s="43">
        <v>5</v>
      </c>
      <c r="W71" s="43">
        <v>5</v>
      </c>
      <c r="X71" s="43">
        <v>5</v>
      </c>
      <c r="Y71" s="43">
        <v>5</v>
      </c>
      <c r="Z71" s="43">
        <v>5</v>
      </c>
      <c r="AA71" s="43">
        <v>5</v>
      </c>
      <c r="AB71" s="43">
        <v>5</v>
      </c>
      <c r="AC71" s="43">
        <v>5</v>
      </c>
      <c r="AD71" s="43">
        <v>5</v>
      </c>
      <c r="AE71" s="43">
        <v>5</v>
      </c>
      <c r="AF71" s="43">
        <v>5</v>
      </c>
      <c r="AG71" s="43"/>
      <c r="AH71" s="43"/>
      <c r="AI71" s="43">
        <v>5</v>
      </c>
      <c r="AJ71" s="43">
        <v>5</v>
      </c>
      <c r="AK71" s="43">
        <v>40</v>
      </c>
      <c r="AL71" s="43" t="s">
        <v>49</v>
      </c>
      <c r="AM71" s="43">
        <v>5</v>
      </c>
      <c r="AN71" s="43" t="s">
        <v>56</v>
      </c>
      <c r="AO71" s="43"/>
      <c r="AP71" s="43" t="s">
        <v>54</v>
      </c>
      <c r="AR71" s="22">
        <f t="shared" ref="AR71:AR76" si="8">AVERAGE(K71,M71,N71,O71,P71)</f>
        <v>4.2</v>
      </c>
      <c r="AS71" s="22">
        <f t="shared" ref="AS71:AS76" si="9">AVERAGE(Q71,6-R71,6-S71,T71,U71)</f>
        <v>5</v>
      </c>
      <c r="AT71" s="22" t="s">
        <v>52</v>
      </c>
      <c r="AU71" s="22" t="str">
        <f t="shared" ref="AU71:AU76" si="10">IF(AR71&gt;=4,"High","Low")</f>
        <v>High</v>
      </c>
      <c r="AV71" s="22" t="str">
        <f t="shared" ref="AV71:AV76" si="11">IF(AS71&gt;=4,"High","Low")</f>
        <v>High</v>
      </c>
    </row>
    <row r="72" spans="1:48" x14ac:dyDescent="0.2">
      <c r="A72" s="42">
        <v>2</v>
      </c>
      <c r="B72" s="43">
        <v>1</v>
      </c>
      <c r="C72" s="43">
        <v>1</v>
      </c>
      <c r="D72" s="43">
        <v>6</v>
      </c>
      <c r="E72" s="43">
        <v>5</v>
      </c>
      <c r="F72" s="43">
        <v>3</v>
      </c>
      <c r="G72" s="43">
        <v>1</v>
      </c>
      <c r="H72" s="43">
        <v>1</v>
      </c>
      <c r="I72" s="43">
        <v>4</v>
      </c>
      <c r="J72" s="43">
        <v>4</v>
      </c>
      <c r="K72" s="43">
        <v>2</v>
      </c>
      <c r="L72" s="43">
        <v>4</v>
      </c>
      <c r="M72" s="43">
        <v>2</v>
      </c>
      <c r="N72" s="43">
        <v>4</v>
      </c>
      <c r="O72" s="43">
        <v>4</v>
      </c>
      <c r="P72" s="43">
        <v>4</v>
      </c>
      <c r="Q72" s="43">
        <v>4</v>
      </c>
      <c r="R72" s="43">
        <v>2</v>
      </c>
      <c r="S72" s="43">
        <v>3</v>
      </c>
      <c r="T72" s="43">
        <v>4</v>
      </c>
      <c r="U72" s="43">
        <v>4</v>
      </c>
      <c r="V72" s="43">
        <v>3</v>
      </c>
      <c r="W72" s="43">
        <v>3</v>
      </c>
      <c r="X72" s="43">
        <v>3</v>
      </c>
      <c r="Y72" s="43">
        <v>4</v>
      </c>
      <c r="Z72" s="43">
        <v>4</v>
      </c>
      <c r="AA72" s="43">
        <v>4</v>
      </c>
      <c r="AB72" s="43">
        <v>4</v>
      </c>
      <c r="AC72" s="43">
        <v>4</v>
      </c>
      <c r="AD72" s="43">
        <v>4</v>
      </c>
      <c r="AE72" s="43">
        <v>4</v>
      </c>
      <c r="AF72" s="43">
        <v>4</v>
      </c>
      <c r="AG72" s="43"/>
      <c r="AH72" s="43"/>
      <c r="AI72" s="43">
        <v>4</v>
      </c>
      <c r="AJ72" s="43">
        <v>4</v>
      </c>
      <c r="AK72" s="43">
        <v>32</v>
      </c>
      <c r="AL72" s="43" t="s">
        <v>49</v>
      </c>
      <c r="AM72" s="43">
        <v>3.25</v>
      </c>
      <c r="AN72" s="43" t="s">
        <v>50</v>
      </c>
      <c r="AO72" s="43"/>
      <c r="AP72" s="43" t="s">
        <v>51</v>
      </c>
      <c r="AR72" s="22">
        <f t="shared" si="8"/>
        <v>3.2</v>
      </c>
      <c r="AS72" s="22">
        <f t="shared" si="9"/>
        <v>3.8</v>
      </c>
      <c r="AT72" s="22" t="s">
        <v>52</v>
      </c>
      <c r="AU72" s="22" t="str">
        <f t="shared" si="10"/>
        <v>Low</v>
      </c>
      <c r="AV72" s="22" t="str">
        <f t="shared" si="11"/>
        <v>Low</v>
      </c>
    </row>
    <row r="73" spans="1:48" x14ac:dyDescent="0.2">
      <c r="A73" s="42">
        <v>3</v>
      </c>
      <c r="B73" s="43">
        <v>1</v>
      </c>
      <c r="C73" s="43">
        <v>1</v>
      </c>
      <c r="D73" s="43">
        <v>1</v>
      </c>
      <c r="E73" s="43">
        <v>2</v>
      </c>
      <c r="F73" s="43">
        <v>6</v>
      </c>
      <c r="G73" s="43">
        <v>1</v>
      </c>
      <c r="H73" s="43">
        <v>4</v>
      </c>
      <c r="I73" s="43">
        <v>2</v>
      </c>
      <c r="J73" s="43">
        <v>4</v>
      </c>
      <c r="K73" s="43">
        <v>2</v>
      </c>
      <c r="L73" s="43">
        <v>2</v>
      </c>
      <c r="M73" s="43">
        <v>4</v>
      </c>
      <c r="N73" s="43">
        <v>5</v>
      </c>
      <c r="O73" s="43">
        <v>2</v>
      </c>
      <c r="P73" s="43">
        <v>5</v>
      </c>
      <c r="Q73" s="43">
        <v>5</v>
      </c>
      <c r="R73" s="43">
        <v>1</v>
      </c>
      <c r="S73" s="43">
        <v>1</v>
      </c>
      <c r="T73" s="43">
        <v>5</v>
      </c>
      <c r="U73" s="43">
        <v>3</v>
      </c>
      <c r="V73" s="43">
        <v>2</v>
      </c>
      <c r="W73" s="43">
        <v>3</v>
      </c>
      <c r="X73" s="43">
        <v>3</v>
      </c>
      <c r="Y73" s="43">
        <v>5</v>
      </c>
      <c r="Z73" s="43">
        <v>4</v>
      </c>
      <c r="AA73" s="43">
        <v>4</v>
      </c>
      <c r="AB73" s="43">
        <v>4</v>
      </c>
      <c r="AC73" s="43">
        <v>4</v>
      </c>
      <c r="AD73" s="43">
        <v>4</v>
      </c>
      <c r="AE73" s="43">
        <v>4</v>
      </c>
      <c r="AF73" s="43">
        <v>4</v>
      </c>
      <c r="AG73" s="43"/>
      <c r="AH73" s="43"/>
      <c r="AI73" s="43">
        <v>5</v>
      </c>
      <c r="AJ73" s="43">
        <v>4.125</v>
      </c>
      <c r="AK73" s="43">
        <v>33</v>
      </c>
      <c r="AL73" s="43" t="s">
        <v>49</v>
      </c>
      <c r="AM73" s="43">
        <v>3.25</v>
      </c>
      <c r="AN73" s="43" t="s">
        <v>50</v>
      </c>
      <c r="AO73" s="43"/>
      <c r="AP73" s="43" t="s">
        <v>54</v>
      </c>
      <c r="AR73" s="22">
        <f t="shared" si="8"/>
        <v>3.6</v>
      </c>
      <c r="AS73" s="22">
        <f t="shared" si="9"/>
        <v>4.5999999999999996</v>
      </c>
      <c r="AT73" s="22" t="s">
        <v>55</v>
      </c>
      <c r="AU73" s="22" t="str">
        <f t="shared" si="10"/>
        <v>Low</v>
      </c>
      <c r="AV73" s="22" t="str">
        <f t="shared" si="11"/>
        <v>High</v>
      </c>
    </row>
    <row r="74" spans="1:48" x14ac:dyDescent="0.2">
      <c r="A74" s="42">
        <v>2</v>
      </c>
      <c r="B74" s="43">
        <v>1</v>
      </c>
      <c r="C74" s="43">
        <v>1</v>
      </c>
      <c r="D74" s="43">
        <v>13</v>
      </c>
      <c r="E74" s="43">
        <v>5</v>
      </c>
      <c r="F74" s="43">
        <v>3</v>
      </c>
      <c r="G74" s="43">
        <v>2</v>
      </c>
      <c r="H74" s="43">
        <v>1</v>
      </c>
      <c r="I74" s="43">
        <v>5</v>
      </c>
      <c r="J74" s="43">
        <v>2</v>
      </c>
      <c r="K74" s="43">
        <v>4</v>
      </c>
      <c r="L74" s="43">
        <v>2</v>
      </c>
      <c r="M74" s="43">
        <v>4</v>
      </c>
      <c r="N74" s="43">
        <v>5</v>
      </c>
      <c r="O74" s="43">
        <v>2</v>
      </c>
      <c r="P74" s="43">
        <v>2</v>
      </c>
      <c r="Q74" s="43">
        <v>4</v>
      </c>
      <c r="R74" s="43">
        <v>2</v>
      </c>
      <c r="S74" s="43">
        <v>2</v>
      </c>
      <c r="T74" s="43">
        <v>5</v>
      </c>
      <c r="U74" s="43">
        <v>5</v>
      </c>
      <c r="V74" s="43">
        <v>1</v>
      </c>
      <c r="W74" s="43">
        <v>4</v>
      </c>
      <c r="X74" s="43">
        <v>4</v>
      </c>
      <c r="Y74" s="43">
        <v>4</v>
      </c>
      <c r="Z74" s="43">
        <v>5</v>
      </c>
      <c r="AA74" s="43">
        <v>5</v>
      </c>
      <c r="AB74" s="43">
        <v>5</v>
      </c>
      <c r="AC74" s="43">
        <v>5</v>
      </c>
      <c r="AD74" s="43">
        <v>5</v>
      </c>
      <c r="AE74" s="43">
        <v>5</v>
      </c>
      <c r="AF74" s="43">
        <v>5</v>
      </c>
      <c r="AG74" s="43"/>
      <c r="AH74" s="43"/>
      <c r="AI74" s="43">
        <v>1</v>
      </c>
      <c r="AJ74" s="43">
        <v>4.5</v>
      </c>
      <c r="AK74" s="43">
        <v>36</v>
      </c>
      <c r="AL74" s="43" t="s">
        <v>49</v>
      </c>
      <c r="AM74" s="43">
        <v>3.25</v>
      </c>
      <c r="AN74" s="43" t="s">
        <v>50</v>
      </c>
      <c r="AO74" s="43"/>
      <c r="AP74" s="43" t="s">
        <v>51</v>
      </c>
      <c r="AR74" s="22">
        <f t="shared" si="8"/>
        <v>3.4</v>
      </c>
      <c r="AS74" s="22">
        <f t="shared" si="9"/>
        <v>4.4000000000000004</v>
      </c>
      <c r="AT74" s="22" t="s">
        <v>52</v>
      </c>
      <c r="AU74" s="22" t="str">
        <f t="shared" si="10"/>
        <v>Low</v>
      </c>
      <c r="AV74" s="22" t="str">
        <f t="shared" si="11"/>
        <v>High</v>
      </c>
    </row>
    <row r="75" spans="1:48" x14ac:dyDescent="0.2">
      <c r="A75" s="42">
        <v>2</v>
      </c>
      <c r="B75" s="43">
        <v>3</v>
      </c>
      <c r="C75" s="43">
        <v>2</v>
      </c>
      <c r="D75" s="43">
        <v>9</v>
      </c>
      <c r="E75" s="43">
        <v>4</v>
      </c>
      <c r="F75" s="43">
        <v>3</v>
      </c>
      <c r="G75" s="43">
        <v>4</v>
      </c>
      <c r="H75" s="43">
        <v>1</v>
      </c>
      <c r="I75" s="43">
        <v>5</v>
      </c>
      <c r="J75" s="43">
        <v>5</v>
      </c>
      <c r="K75" s="43">
        <v>1</v>
      </c>
      <c r="L75" s="43">
        <v>4</v>
      </c>
      <c r="M75" s="43">
        <v>2</v>
      </c>
      <c r="N75" s="43">
        <v>4</v>
      </c>
      <c r="O75" s="43">
        <v>4</v>
      </c>
      <c r="P75" s="43">
        <v>5</v>
      </c>
      <c r="Q75" s="43">
        <v>4</v>
      </c>
      <c r="R75" s="43">
        <v>4</v>
      </c>
      <c r="S75" s="43">
        <v>4</v>
      </c>
      <c r="T75" s="43">
        <v>4</v>
      </c>
      <c r="U75" s="43">
        <v>4</v>
      </c>
      <c r="V75" s="43">
        <v>2</v>
      </c>
      <c r="W75" s="43">
        <v>2</v>
      </c>
      <c r="X75" s="43">
        <v>1</v>
      </c>
      <c r="Y75" s="43">
        <v>4</v>
      </c>
      <c r="Z75" s="43">
        <v>4</v>
      </c>
      <c r="AA75" s="43">
        <v>4</v>
      </c>
      <c r="AB75" s="43">
        <v>4</v>
      </c>
      <c r="AC75" s="43">
        <v>4</v>
      </c>
      <c r="AD75" s="43">
        <v>4</v>
      </c>
      <c r="AE75" s="43">
        <v>4</v>
      </c>
      <c r="AF75" s="43">
        <v>4</v>
      </c>
      <c r="AG75" s="43"/>
      <c r="AH75" s="43"/>
      <c r="AI75" s="43">
        <v>4</v>
      </c>
      <c r="AJ75" s="43">
        <v>4</v>
      </c>
      <c r="AK75" s="43">
        <v>32</v>
      </c>
      <c r="AL75" s="43" t="s">
        <v>49</v>
      </c>
      <c r="AM75" s="43">
        <v>2.25</v>
      </c>
      <c r="AN75" s="43" t="s">
        <v>50</v>
      </c>
      <c r="AO75" s="43"/>
      <c r="AP75" s="43" t="s">
        <v>51</v>
      </c>
      <c r="AR75" s="22">
        <f t="shared" si="8"/>
        <v>3.2</v>
      </c>
      <c r="AS75" s="22">
        <f t="shared" si="9"/>
        <v>3.2</v>
      </c>
      <c r="AT75" s="22" t="s">
        <v>52</v>
      </c>
      <c r="AU75" s="22" t="str">
        <f t="shared" si="10"/>
        <v>Low</v>
      </c>
      <c r="AV75" s="22" t="str">
        <f t="shared" si="11"/>
        <v>Low</v>
      </c>
    </row>
    <row r="76" spans="1:48" x14ac:dyDescent="0.2">
      <c r="A76" s="42">
        <v>1</v>
      </c>
      <c r="B76" s="43">
        <v>1</v>
      </c>
      <c r="C76" s="43">
        <v>1</v>
      </c>
      <c r="D76" s="43">
        <v>14</v>
      </c>
      <c r="E76" s="43">
        <v>5</v>
      </c>
      <c r="F76" s="43">
        <v>3</v>
      </c>
      <c r="G76" s="43">
        <v>5</v>
      </c>
      <c r="H76" s="43">
        <v>1</v>
      </c>
      <c r="I76" s="43">
        <v>5</v>
      </c>
      <c r="J76" s="43">
        <v>5</v>
      </c>
      <c r="K76" s="43">
        <v>1</v>
      </c>
      <c r="L76" s="43">
        <v>4</v>
      </c>
      <c r="M76" s="43">
        <v>2</v>
      </c>
      <c r="N76" s="43">
        <v>3</v>
      </c>
      <c r="O76" s="43">
        <v>4</v>
      </c>
      <c r="P76" s="43">
        <v>4</v>
      </c>
      <c r="Q76" s="43">
        <v>4</v>
      </c>
      <c r="R76" s="43">
        <v>5</v>
      </c>
      <c r="S76" s="43">
        <v>4</v>
      </c>
      <c r="T76" s="43">
        <v>4</v>
      </c>
      <c r="U76" s="43">
        <v>4</v>
      </c>
      <c r="V76" s="43">
        <v>1</v>
      </c>
      <c r="W76" s="43">
        <v>1</v>
      </c>
      <c r="X76" s="43">
        <v>1</v>
      </c>
      <c r="Y76" s="43">
        <v>3</v>
      </c>
      <c r="Z76" s="43">
        <v>3</v>
      </c>
      <c r="AA76" s="43">
        <v>4</v>
      </c>
      <c r="AB76" s="43">
        <v>3</v>
      </c>
      <c r="AC76" s="43">
        <v>4</v>
      </c>
      <c r="AD76" s="43">
        <v>3</v>
      </c>
      <c r="AE76" s="43">
        <v>4</v>
      </c>
      <c r="AF76" s="43">
        <v>3</v>
      </c>
      <c r="AG76" s="43"/>
      <c r="AH76" s="43"/>
      <c r="AI76" s="43">
        <v>3</v>
      </c>
      <c r="AJ76" s="43">
        <v>3.375</v>
      </c>
      <c r="AK76" s="43">
        <v>27</v>
      </c>
      <c r="AL76" s="43" t="s">
        <v>53</v>
      </c>
      <c r="AM76" s="43">
        <v>1.5</v>
      </c>
      <c r="AN76" s="43" t="s">
        <v>50</v>
      </c>
      <c r="AO76" s="43"/>
      <c r="AP76" s="43" t="s">
        <v>51</v>
      </c>
      <c r="AR76" s="22">
        <f t="shared" si="8"/>
        <v>2.8</v>
      </c>
      <c r="AS76" s="22">
        <f t="shared" si="9"/>
        <v>3</v>
      </c>
      <c r="AT76" s="22" t="s">
        <v>52</v>
      </c>
      <c r="AU76" s="22" t="str">
        <f t="shared" si="10"/>
        <v>Low</v>
      </c>
      <c r="AV76" s="22" t="str">
        <f t="shared" si="11"/>
        <v>Low</v>
      </c>
    </row>
    <row r="78" spans="1:48" x14ac:dyDescent="0.2">
      <c r="A78" s="23" t="s">
        <v>58</v>
      </c>
    </row>
    <row r="80" spans="1:48" ht="24" customHeight="1" x14ac:dyDescent="0.2">
      <c r="A80" s="19" t="s">
        <v>59</v>
      </c>
      <c r="B80" s="20"/>
      <c r="C80" s="20"/>
      <c r="D80" s="20"/>
      <c r="E80" s="20"/>
    </row>
    <row r="82" spans="1:5" x14ac:dyDescent="0.2">
      <c r="A82" s="21" t="s">
        <v>60</v>
      </c>
      <c r="B82" s="1" t="s">
        <v>61</v>
      </c>
      <c r="C82" s="1" t="s">
        <v>62</v>
      </c>
      <c r="D82" s="1" t="s">
        <v>63</v>
      </c>
      <c r="E82" s="1" t="s">
        <v>64</v>
      </c>
    </row>
    <row r="83" spans="1:5" x14ac:dyDescent="0.2">
      <c r="A83" s="24" t="s">
        <v>65</v>
      </c>
      <c r="B83" s="2" t="s">
        <v>66</v>
      </c>
      <c r="C83" s="3">
        <v>2</v>
      </c>
      <c r="D83" s="2">
        <f>COUNTIF($A$7:$A$76,C83)</f>
        <v>29</v>
      </c>
      <c r="E83" s="4">
        <f t="shared" ref="E83:E122" si="12">D83/70</f>
        <v>0.41428571428571431</v>
      </c>
    </row>
    <row r="84" spans="1:5" x14ac:dyDescent="0.2">
      <c r="A84" s="24"/>
      <c r="B84" s="2" t="s">
        <v>67</v>
      </c>
      <c r="C84" s="3">
        <v>1</v>
      </c>
      <c r="D84" s="2">
        <f>COUNTIF($A$7:$A$76,C84)</f>
        <v>22</v>
      </c>
      <c r="E84" s="4">
        <f t="shared" si="12"/>
        <v>0.31428571428571428</v>
      </c>
    </row>
    <row r="85" spans="1:5" x14ac:dyDescent="0.2">
      <c r="A85" s="24"/>
      <c r="B85" s="2" t="s">
        <v>68</v>
      </c>
      <c r="C85" s="3">
        <v>3</v>
      </c>
      <c r="D85" s="2">
        <f>COUNTIF($A$7:$A$76,C85)</f>
        <v>19</v>
      </c>
      <c r="E85" s="4">
        <f t="shared" si="12"/>
        <v>0.27142857142857141</v>
      </c>
    </row>
    <row r="86" spans="1:5" x14ac:dyDescent="0.2">
      <c r="A86" s="24" t="s">
        <v>69</v>
      </c>
      <c r="B86" s="2" t="s">
        <v>70</v>
      </c>
      <c r="C86" s="3">
        <v>1</v>
      </c>
      <c r="D86" s="2">
        <f>COUNTIF($B$7:$B$76,C86)</f>
        <v>39</v>
      </c>
      <c r="E86" s="4">
        <f t="shared" si="12"/>
        <v>0.55714285714285716</v>
      </c>
    </row>
    <row r="87" spans="1:5" x14ac:dyDescent="0.2">
      <c r="A87" s="24"/>
      <c r="B87" s="2" t="s">
        <v>71</v>
      </c>
      <c r="C87" s="3">
        <v>2</v>
      </c>
      <c r="D87" s="2">
        <f>COUNTIF($B$7:$B$76,C87)</f>
        <v>12</v>
      </c>
      <c r="E87" s="4">
        <f t="shared" si="12"/>
        <v>0.17142857142857143</v>
      </c>
    </row>
    <row r="88" spans="1:5" x14ac:dyDescent="0.2">
      <c r="A88" s="24"/>
      <c r="B88" s="2" t="s">
        <v>72</v>
      </c>
      <c r="C88" s="3">
        <v>3</v>
      </c>
      <c r="D88" s="2">
        <f>COUNTIF($B$7:$B$76,C88)</f>
        <v>9</v>
      </c>
      <c r="E88" s="4">
        <f t="shared" si="12"/>
        <v>0.12857142857142856</v>
      </c>
    </row>
    <row r="89" spans="1:5" x14ac:dyDescent="0.2">
      <c r="A89" s="24"/>
      <c r="B89" s="2" t="s">
        <v>73</v>
      </c>
      <c r="C89" s="3">
        <v>4</v>
      </c>
      <c r="D89" s="2">
        <f>COUNTIF($B$7:$B$76,C89)</f>
        <v>6</v>
      </c>
      <c r="E89" s="4">
        <f t="shared" si="12"/>
        <v>8.5714285714285715E-2</v>
      </c>
    </row>
    <row r="90" spans="1:5" x14ac:dyDescent="0.2">
      <c r="A90" s="24"/>
      <c r="B90" s="2" t="s">
        <v>74</v>
      </c>
      <c r="C90" s="3">
        <v>5</v>
      </c>
      <c r="D90" s="2">
        <f>COUNTIF($B$7:$B$76,C90)</f>
        <v>4</v>
      </c>
      <c r="E90" s="4">
        <f t="shared" si="12"/>
        <v>5.7142857142857141E-2</v>
      </c>
    </row>
    <row r="91" spans="1:5" x14ac:dyDescent="0.2">
      <c r="A91" s="24" t="s">
        <v>75</v>
      </c>
      <c r="B91" s="2" t="s">
        <v>76</v>
      </c>
      <c r="C91" s="3">
        <v>2</v>
      </c>
      <c r="D91" s="2">
        <f>COUNTIF($C$7:$C$76,C91)</f>
        <v>37</v>
      </c>
      <c r="E91" s="4">
        <f t="shared" si="12"/>
        <v>0.52857142857142858</v>
      </c>
    </row>
    <row r="92" spans="1:5" x14ac:dyDescent="0.2">
      <c r="A92" s="24"/>
      <c r="B92" s="2" t="s">
        <v>77</v>
      </c>
      <c r="C92" s="3">
        <v>1</v>
      </c>
      <c r="D92" s="2">
        <f>COUNTIF($C$7:$C$76,C92)</f>
        <v>28</v>
      </c>
      <c r="E92" s="4">
        <f t="shared" si="12"/>
        <v>0.4</v>
      </c>
    </row>
    <row r="93" spans="1:5" x14ac:dyDescent="0.2">
      <c r="A93" s="24"/>
      <c r="B93" s="2" t="s">
        <v>78</v>
      </c>
      <c r="C93" s="3">
        <v>3</v>
      </c>
      <c r="D93" s="2">
        <f>COUNTIF($C$7:$C$76,C93)</f>
        <v>5</v>
      </c>
      <c r="E93" s="4">
        <f t="shared" si="12"/>
        <v>7.1428571428571425E-2</v>
      </c>
    </row>
    <row r="94" spans="1:5" x14ac:dyDescent="0.2">
      <c r="A94" s="24" t="s">
        <v>79</v>
      </c>
      <c r="B94" s="2" t="s">
        <v>52</v>
      </c>
      <c r="C94" s="3" t="s">
        <v>52</v>
      </c>
      <c r="D94" s="2">
        <f>COUNTIF($AT$7:$AT$76,C94)</f>
        <v>57</v>
      </c>
      <c r="E94" s="4">
        <f t="shared" si="12"/>
        <v>0.81428571428571428</v>
      </c>
    </row>
    <row r="95" spans="1:5" x14ac:dyDescent="0.2">
      <c r="A95" s="24"/>
      <c r="B95" s="2" t="s">
        <v>55</v>
      </c>
      <c r="C95" s="3" t="s">
        <v>55</v>
      </c>
      <c r="D95" s="2">
        <f>COUNTIF($AT$7:$AT$76,C95)</f>
        <v>11</v>
      </c>
      <c r="E95" s="4">
        <f t="shared" si="12"/>
        <v>0.15714285714285714</v>
      </c>
    </row>
    <row r="96" spans="1:5" x14ac:dyDescent="0.2">
      <c r="A96" s="24"/>
      <c r="B96" s="2" t="s">
        <v>57</v>
      </c>
      <c r="C96" s="3" t="s">
        <v>57</v>
      </c>
      <c r="D96" s="2">
        <f>COUNTIF($AT$7:$AT$76,C96)</f>
        <v>2</v>
      </c>
      <c r="E96" s="4">
        <f t="shared" si="12"/>
        <v>2.8571428571428571E-2</v>
      </c>
    </row>
    <row r="97" spans="1:5" x14ac:dyDescent="0.2">
      <c r="A97" s="24" t="s">
        <v>80</v>
      </c>
      <c r="B97" s="2" t="s">
        <v>81</v>
      </c>
      <c r="C97" s="3">
        <v>5</v>
      </c>
      <c r="D97" s="2">
        <f>COUNTIF($E$7:$E$76,C97)</f>
        <v>48</v>
      </c>
      <c r="E97" s="4">
        <f t="shared" si="12"/>
        <v>0.68571428571428572</v>
      </c>
    </row>
    <row r="98" spans="1:5" x14ac:dyDescent="0.2">
      <c r="A98" s="24"/>
      <c r="B98" s="2" t="s">
        <v>82</v>
      </c>
      <c r="C98" s="3">
        <v>1</v>
      </c>
      <c r="D98" s="2">
        <f>COUNTIF($E$7:$E$76,C98)</f>
        <v>8</v>
      </c>
      <c r="E98" s="4">
        <f t="shared" si="12"/>
        <v>0.11428571428571428</v>
      </c>
    </row>
    <row r="99" spans="1:5" x14ac:dyDescent="0.2">
      <c r="A99" s="24"/>
      <c r="B99" s="2" t="s">
        <v>83</v>
      </c>
      <c r="C99" s="3">
        <v>4</v>
      </c>
      <c r="D99" s="2">
        <f>COUNTIF($E$7:$E$76,C99)</f>
        <v>6</v>
      </c>
      <c r="E99" s="4">
        <f t="shared" si="12"/>
        <v>8.5714285714285715E-2</v>
      </c>
    </row>
    <row r="100" spans="1:5" x14ac:dyDescent="0.2">
      <c r="A100" s="24"/>
      <c r="B100" s="2" t="s">
        <v>84</v>
      </c>
      <c r="C100" s="3">
        <v>3</v>
      </c>
      <c r="D100" s="2">
        <f>COUNTIF($E$7:$E$76,C100)</f>
        <v>5</v>
      </c>
      <c r="E100" s="4">
        <f t="shared" si="12"/>
        <v>7.1428571428571425E-2</v>
      </c>
    </row>
    <row r="101" spans="1:5" x14ac:dyDescent="0.2">
      <c r="A101" s="24"/>
      <c r="B101" s="2" t="s">
        <v>85</v>
      </c>
      <c r="C101" s="3">
        <v>2</v>
      </c>
      <c r="D101" s="2">
        <f>COUNTIF($E$7:$E$76,C101)</f>
        <v>3</v>
      </c>
      <c r="E101" s="4">
        <f t="shared" si="12"/>
        <v>4.2857142857142858E-2</v>
      </c>
    </row>
    <row r="102" spans="1:5" x14ac:dyDescent="0.2">
      <c r="A102" s="24" t="s">
        <v>86</v>
      </c>
      <c r="B102" s="2" t="s">
        <v>87</v>
      </c>
      <c r="C102" s="3">
        <v>3</v>
      </c>
      <c r="D102" s="2">
        <f t="shared" ref="D102:D107" si="13">COUNTIF($F$7:$F$76,C102)</f>
        <v>33</v>
      </c>
      <c r="E102" s="4">
        <f t="shared" si="12"/>
        <v>0.47142857142857142</v>
      </c>
    </row>
    <row r="103" spans="1:5" x14ac:dyDescent="0.2">
      <c r="A103" s="24"/>
      <c r="B103" s="2" t="s">
        <v>88</v>
      </c>
      <c r="C103" s="3">
        <v>4</v>
      </c>
      <c r="D103" s="2">
        <f t="shared" si="13"/>
        <v>15</v>
      </c>
      <c r="E103" s="4">
        <f t="shared" si="12"/>
        <v>0.21428571428571427</v>
      </c>
    </row>
    <row r="104" spans="1:5" x14ac:dyDescent="0.2">
      <c r="A104" s="24"/>
      <c r="B104" s="2" t="s">
        <v>89</v>
      </c>
      <c r="C104" s="3">
        <v>2</v>
      </c>
      <c r="D104" s="2">
        <f t="shared" si="13"/>
        <v>11</v>
      </c>
      <c r="E104" s="4">
        <f t="shared" si="12"/>
        <v>0.15714285714285714</v>
      </c>
    </row>
    <row r="105" spans="1:5" x14ac:dyDescent="0.2">
      <c r="A105" s="24"/>
      <c r="B105" s="2" t="s">
        <v>90</v>
      </c>
      <c r="C105" s="3">
        <v>1</v>
      </c>
      <c r="D105" s="2">
        <f t="shared" si="13"/>
        <v>4</v>
      </c>
      <c r="E105" s="4">
        <f t="shared" si="12"/>
        <v>5.7142857142857141E-2</v>
      </c>
    </row>
    <row r="106" spans="1:5" x14ac:dyDescent="0.2">
      <c r="A106" s="24"/>
      <c r="B106" s="2" t="s">
        <v>91</v>
      </c>
      <c r="C106" s="3">
        <v>6</v>
      </c>
      <c r="D106" s="2">
        <f t="shared" si="13"/>
        <v>4</v>
      </c>
      <c r="E106" s="4">
        <f t="shared" si="12"/>
        <v>5.7142857142857141E-2</v>
      </c>
    </row>
    <row r="107" spans="1:5" x14ac:dyDescent="0.2">
      <c r="A107" s="24"/>
      <c r="B107" s="2" t="s">
        <v>92</v>
      </c>
      <c r="C107" s="3">
        <v>5</v>
      </c>
      <c r="D107" s="2">
        <f t="shared" si="13"/>
        <v>3</v>
      </c>
      <c r="E107" s="4">
        <f t="shared" si="12"/>
        <v>4.2857142857142858E-2</v>
      </c>
    </row>
    <row r="108" spans="1:5" x14ac:dyDescent="0.2">
      <c r="A108" s="24" t="s">
        <v>93</v>
      </c>
      <c r="B108" s="2" t="s">
        <v>94</v>
      </c>
      <c r="C108" s="3">
        <v>1</v>
      </c>
      <c r="D108" s="2">
        <f>COUNTIF($G$7:$G$76,C108)</f>
        <v>22</v>
      </c>
      <c r="E108" s="4">
        <f t="shared" si="12"/>
        <v>0.31428571428571428</v>
      </c>
    </row>
    <row r="109" spans="1:5" x14ac:dyDescent="0.2">
      <c r="A109" s="24"/>
      <c r="B109" s="2" t="s">
        <v>95</v>
      </c>
      <c r="C109" s="3">
        <v>2</v>
      </c>
      <c r="D109" s="2">
        <f>COUNTIF($G$7:$G$76,C109)</f>
        <v>20</v>
      </c>
      <c r="E109" s="4">
        <f t="shared" si="12"/>
        <v>0.2857142857142857</v>
      </c>
    </row>
    <row r="110" spans="1:5" x14ac:dyDescent="0.2">
      <c r="A110" s="24"/>
      <c r="B110" s="2" t="s">
        <v>96</v>
      </c>
      <c r="C110" s="3">
        <v>5</v>
      </c>
      <c r="D110" s="2">
        <f>COUNTIF($G$7:$G$76,C110)</f>
        <v>16</v>
      </c>
      <c r="E110" s="4">
        <f t="shared" si="12"/>
        <v>0.22857142857142856</v>
      </c>
    </row>
    <row r="111" spans="1:5" x14ac:dyDescent="0.2">
      <c r="A111" s="24"/>
      <c r="B111" s="2" t="s">
        <v>97</v>
      </c>
      <c r="C111" s="3">
        <v>3</v>
      </c>
      <c r="D111" s="2">
        <f>COUNTIF($G$7:$G$76,C111)</f>
        <v>8</v>
      </c>
      <c r="E111" s="4">
        <f t="shared" si="12"/>
        <v>0.11428571428571428</v>
      </c>
    </row>
    <row r="112" spans="1:5" x14ac:dyDescent="0.2">
      <c r="A112" s="24"/>
      <c r="B112" s="2" t="s">
        <v>98</v>
      </c>
      <c r="C112" s="3">
        <v>4</v>
      </c>
      <c r="D112" s="2">
        <f>COUNTIF($G$7:$G$76,C112)</f>
        <v>4</v>
      </c>
      <c r="E112" s="4">
        <f t="shared" si="12"/>
        <v>5.7142857142857141E-2</v>
      </c>
    </row>
    <row r="113" spans="1:8" x14ac:dyDescent="0.2">
      <c r="A113" s="24" t="s">
        <v>99</v>
      </c>
      <c r="B113" s="2" t="s">
        <v>100</v>
      </c>
      <c r="C113" s="3">
        <v>2</v>
      </c>
      <c r="D113" s="2">
        <f>COUNTIF($H$7:$H$76,C113)</f>
        <v>29</v>
      </c>
      <c r="E113" s="4">
        <f t="shared" si="12"/>
        <v>0.41428571428571431</v>
      </c>
    </row>
    <row r="114" spans="1:8" x14ac:dyDescent="0.2">
      <c r="A114" s="24"/>
      <c r="B114" s="2" t="s">
        <v>101</v>
      </c>
      <c r="C114" s="3">
        <v>1</v>
      </c>
      <c r="D114" s="2">
        <f>COUNTIF($H$7:$H$76,C114)</f>
        <v>23</v>
      </c>
      <c r="E114" s="4">
        <f t="shared" si="12"/>
        <v>0.32857142857142857</v>
      </c>
    </row>
    <row r="115" spans="1:8" x14ac:dyDescent="0.2">
      <c r="A115" s="24"/>
      <c r="B115" s="2" t="s">
        <v>102</v>
      </c>
      <c r="C115" s="3">
        <v>5</v>
      </c>
      <c r="D115" s="2">
        <f>COUNTIF($H$7:$H$76,C115)</f>
        <v>8</v>
      </c>
      <c r="E115" s="4">
        <f t="shared" si="12"/>
        <v>0.11428571428571428</v>
      </c>
    </row>
    <row r="116" spans="1:8" x14ac:dyDescent="0.2">
      <c r="A116" s="24"/>
      <c r="B116" s="2" t="s">
        <v>103</v>
      </c>
      <c r="C116" s="3">
        <v>3</v>
      </c>
      <c r="D116" s="2">
        <f>COUNTIF($H$7:$H$76,C116)</f>
        <v>6</v>
      </c>
      <c r="E116" s="4">
        <f t="shared" si="12"/>
        <v>8.5714285714285715E-2</v>
      </c>
    </row>
    <row r="117" spans="1:8" x14ac:dyDescent="0.2">
      <c r="A117" s="24"/>
      <c r="B117" s="2" t="s">
        <v>104</v>
      </c>
      <c r="C117" s="3">
        <v>4</v>
      </c>
      <c r="D117" s="2">
        <f>COUNTIF($H$7:$H$76,C117)</f>
        <v>3</v>
      </c>
      <c r="E117" s="4">
        <f t="shared" si="12"/>
        <v>4.2857142857142858E-2</v>
      </c>
    </row>
    <row r="118" spans="1:8" x14ac:dyDescent="0.2">
      <c r="A118" s="24" t="s">
        <v>105</v>
      </c>
      <c r="B118" s="2" t="s">
        <v>106</v>
      </c>
      <c r="C118" s="3">
        <v>5</v>
      </c>
      <c r="D118" s="2">
        <f>COUNTIF($I$7:$I$76,C118)</f>
        <v>24</v>
      </c>
      <c r="E118" s="4">
        <f t="shared" si="12"/>
        <v>0.34285714285714286</v>
      </c>
    </row>
    <row r="119" spans="1:8" x14ac:dyDescent="0.2">
      <c r="A119" s="24"/>
      <c r="B119" s="2" t="s">
        <v>107</v>
      </c>
      <c r="C119" s="3">
        <v>4</v>
      </c>
      <c r="D119" s="2">
        <f>COUNTIF($I$7:$I$76,C119)</f>
        <v>20</v>
      </c>
      <c r="E119" s="4">
        <f t="shared" si="12"/>
        <v>0.2857142857142857</v>
      </c>
    </row>
    <row r="120" spans="1:8" x14ac:dyDescent="0.2">
      <c r="A120" s="24"/>
      <c r="B120" s="2" t="s">
        <v>108</v>
      </c>
      <c r="C120" s="3">
        <v>3</v>
      </c>
      <c r="D120" s="2">
        <f>COUNTIF($I$7:$I$76,C120)</f>
        <v>10</v>
      </c>
      <c r="E120" s="4">
        <f t="shared" si="12"/>
        <v>0.14285714285714285</v>
      </c>
    </row>
    <row r="121" spans="1:8" x14ac:dyDescent="0.2">
      <c r="A121" s="24"/>
      <c r="B121" s="2" t="s">
        <v>109</v>
      </c>
      <c r="C121" s="3">
        <v>1</v>
      </c>
      <c r="D121" s="2">
        <f>COUNTIF($I$7:$I$76,C121)</f>
        <v>10</v>
      </c>
      <c r="E121" s="4">
        <f t="shared" si="12"/>
        <v>0.14285714285714285</v>
      </c>
    </row>
    <row r="122" spans="1:8" x14ac:dyDescent="0.2">
      <c r="A122" s="24"/>
      <c r="B122" s="2" t="s">
        <v>110</v>
      </c>
      <c r="C122" s="3">
        <v>2</v>
      </c>
      <c r="D122" s="2">
        <f>COUNTIF($I$7:$I$76,C122)</f>
        <v>6</v>
      </c>
      <c r="E122" s="4">
        <f t="shared" si="12"/>
        <v>8.5714285714285715E-2</v>
      </c>
    </row>
    <row r="124" spans="1:8" x14ac:dyDescent="0.2">
      <c r="A124" s="23" t="s">
        <v>111</v>
      </c>
    </row>
    <row r="126" spans="1:8" ht="24" customHeight="1" x14ac:dyDescent="0.2">
      <c r="A126" s="19" t="s">
        <v>112</v>
      </c>
      <c r="B126" s="20"/>
      <c r="C126" s="20"/>
      <c r="D126" s="20"/>
      <c r="E126" s="20"/>
      <c r="F126" s="20"/>
      <c r="G126" s="20"/>
      <c r="H126" s="20"/>
    </row>
    <row r="128" spans="1:8" x14ac:dyDescent="0.2">
      <c r="A128" s="21" t="s">
        <v>60</v>
      </c>
      <c r="B128" s="1" t="s">
        <v>113</v>
      </c>
      <c r="C128" s="1" t="s">
        <v>114</v>
      </c>
      <c r="D128" s="1" t="s">
        <v>115</v>
      </c>
      <c r="E128" s="1" t="s">
        <v>116</v>
      </c>
      <c r="F128" s="1" t="s">
        <v>117</v>
      </c>
      <c r="G128" s="1" t="s">
        <v>118</v>
      </c>
      <c r="H128" s="1" t="s">
        <v>119</v>
      </c>
    </row>
    <row r="129" spans="1:8" x14ac:dyDescent="0.2">
      <c r="A129" s="25" t="s">
        <v>120</v>
      </c>
      <c r="B129" s="6">
        <f>AVERAGE($E$7:$E$76)</f>
        <v>4.1857142857142859</v>
      </c>
      <c r="C129" s="6">
        <f>STDEV($E$7:$E$76)</f>
        <v>1.396609322016606</v>
      </c>
      <c r="D129" s="6">
        <f>VAR($E$7:$E$76)</f>
        <v>1.9505175983436838</v>
      </c>
      <c r="E129" s="6">
        <f>SKEW($E$7:$E$76)</f>
        <v>-1.4920146429793688</v>
      </c>
      <c r="F129" s="6">
        <f>KURT($E$7:$E$76)</f>
        <v>0.70238817667568432</v>
      </c>
      <c r="G129" s="6">
        <f>MIN($E$7:$E$76)</f>
        <v>1</v>
      </c>
      <c r="H129" s="6">
        <f>MAX($E$7:$E$76)</f>
        <v>5</v>
      </c>
    </row>
    <row r="130" spans="1:8" x14ac:dyDescent="0.2">
      <c r="A130" s="25" t="s">
        <v>121</v>
      </c>
      <c r="B130" s="6">
        <f>AVERAGE($H$7:$H$76)</f>
        <v>2.1884057971014492</v>
      </c>
      <c r="C130" s="6">
        <f>STDEV($H$7:$H$76)</f>
        <v>1.2750474307076327</v>
      </c>
      <c r="D130" s="6">
        <f>VAR($H$7:$H$76)</f>
        <v>1.6257459505541352</v>
      </c>
      <c r="E130" s="6">
        <f>SKEW($H$7:$H$76)</f>
        <v>1.1693677786317143</v>
      </c>
      <c r="F130" s="6">
        <f>KURT($H$7:$H$76)</f>
        <v>0.39236572104035261</v>
      </c>
      <c r="G130" s="6">
        <f>MIN($H$7:$H$76)</f>
        <v>1</v>
      </c>
      <c r="H130" s="6">
        <f>MAX($H$7:$H$76)</f>
        <v>5</v>
      </c>
    </row>
    <row r="131" spans="1:8" x14ac:dyDescent="0.2">
      <c r="A131" s="25" t="s">
        <v>122</v>
      </c>
      <c r="B131" s="6">
        <f>AVERAGE($AR$7:$AR$76)</f>
        <v>3.5228571428571431</v>
      </c>
      <c r="C131" s="6">
        <f>STDEV($AR$7:$AR$76)</f>
        <v>0.67096543649969398</v>
      </c>
      <c r="D131" s="6">
        <f>VAR($AR$7:$AR$76)</f>
        <v>0.4501946169772249</v>
      </c>
      <c r="E131" s="6">
        <f>SKEW($AR$7:$AR$76)</f>
        <v>-0.50984867263162481</v>
      </c>
      <c r="F131" s="6">
        <f>KURT($AR$7:$AR$76)</f>
        <v>0.68830937388737112</v>
      </c>
      <c r="G131" s="6">
        <f>MIN($AR$7:$AR$76)</f>
        <v>1.8</v>
      </c>
      <c r="H131" s="6">
        <f>MAX($AR$7:$AR$76)</f>
        <v>5</v>
      </c>
    </row>
    <row r="132" spans="1:8" x14ac:dyDescent="0.2">
      <c r="A132" s="25" t="s">
        <v>123</v>
      </c>
      <c r="B132" s="6">
        <f>AVERAGE($AS$7:$AS$76)</f>
        <v>3.5514285714285716</v>
      </c>
      <c r="C132" s="6">
        <f>STDEV($AS$7:$AS$76)</f>
        <v>0.78569508728662241</v>
      </c>
      <c r="D132" s="6">
        <f>VAR($AS$7:$AS$76)</f>
        <v>0.61731677018633324</v>
      </c>
      <c r="E132" s="6">
        <f>SKEW($AS$7:$AS$76)</f>
        <v>-9.7977918677337655E-2</v>
      </c>
      <c r="F132" s="6">
        <f>KURT($AS$7:$AS$76)</f>
        <v>-0.40250697125845614</v>
      </c>
      <c r="G132" s="6">
        <f>MIN($AS$7:$AS$76)</f>
        <v>1.8</v>
      </c>
      <c r="H132" s="6">
        <f>MAX($AS$7:$AS$76)</f>
        <v>5</v>
      </c>
    </row>
    <row r="133" spans="1:8" x14ac:dyDescent="0.2">
      <c r="A133" s="25" t="s">
        <v>124</v>
      </c>
      <c r="B133" s="6">
        <f>AVERAGE($AM$7:$AM$76)</f>
        <v>2.9964285714285714</v>
      </c>
      <c r="C133" s="6">
        <f>STDEV($AM$7:$AM$76)</f>
        <v>0.92616246691056947</v>
      </c>
      <c r="D133" s="6">
        <f>VAR($AM$7:$AM$76)</f>
        <v>0.85777691511387177</v>
      </c>
      <c r="E133" s="6">
        <f>SKEW($AM$7:$AM$76)</f>
        <v>0.56619041727784414</v>
      </c>
      <c r="F133" s="6">
        <f>KURT($AM$7:$AM$76)</f>
        <v>7.2957002683423422E-2</v>
      </c>
      <c r="G133" s="6">
        <f>MIN($AM$7:$AM$76)</f>
        <v>1.25</v>
      </c>
      <c r="H133" s="6">
        <f>MAX($AM$7:$AM$76)</f>
        <v>5</v>
      </c>
    </row>
    <row r="134" spans="1:8" x14ac:dyDescent="0.2">
      <c r="A134" s="25" t="s">
        <v>125</v>
      </c>
      <c r="B134" s="6">
        <f>AVERAGE($AJ$7:$AJ$76)</f>
        <v>3.7892857142857141</v>
      </c>
      <c r="C134" s="6">
        <f>STDEV($AJ$7:$AJ$76)</f>
        <v>0.79186959369339904</v>
      </c>
      <c r="D134" s="6">
        <f>VAR($AJ$7:$AJ$76)</f>
        <v>0.62705745341614882</v>
      </c>
      <c r="E134" s="6">
        <f>SKEW($AJ$7:$AJ$76)</f>
        <v>-0.8819417250283399</v>
      </c>
      <c r="F134" s="6">
        <f>KURT($AJ$7:$AJ$76)</f>
        <v>1.6348036073978278</v>
      </c>
      <c r="G134" s="6">
        <f>MIN($AJ$7:$AJ$76)</f>
        <v>1.125</v>
      </c>
      <c r="H134" s="6">
        <f>MAX($AJ$7:$AJ$76)</f>
        <v>5</v>
      </c>
    </row>
    <row r="137" spans="1:8" ht="24" customHeight="1" x14ac:dyDescent="0.2">
      <c r="A137" s="19" t="s">
        <v>126</v>
      </c>
      <c r="B137" s="20"/>
    </row>
    <row r="139" spans="1:8" x14ac:dyDescent="0.2">
      <c r="A139" s="17" t="s">
        <v>127</v>
      </c>
    </row>
    <row r="140" spans="1:8" x14ac:dyDescent="0.2">
      <c r="A140" s="21" t="s">
        <v>128</v>
      </c>
      <c r="B140" s="1" t="s">
        <v>129</v>
      </c>
    </row>
    <row r="141" spans="1:8" x14ac:dyDescent="0.2">
      <c r="A141" s="26" t="s">
        <v>130</v>
      </c>
      <c r="B141" s="7">
        <f>VAR($Z$7:$Z$76)</f>
        <v>0.95424430641821967</v>
      </c>
    </row>
    <row r="142" spans="1:8" x14ac:dyDescent="0.2">
      <c r="A142" s="26" t="s">
        <v>131</v>
      </c>
      <c r="B142" s="7">
        <f>VAR($AA$7:$AA$76)</f>
        <v>0.9368530020703929</v>
      </c>
    </row>
    <row r="143" spans="1:8" x14ac:dyDescent="0.2">
      <c r="A143" s="26" t="s">
        <v>132</v>
      </c>
      <c r="B143" s="7">
        <f>VAR($AB$7:$AB$76)</f>
        <v>0.94741200828157424</v>
      </c>
    </row>
    <row r="144" spans="1:8" x14ac:dyDescent="0.2">
      <c r="A144" s="26" t="s">
        <v>133</v>
      </c>
      <c r="B144" s="7">
        <f>VAR($AC$7:$AC$76)</f>
        <v>0.88219461697722645</v>
      </c>
    </row>
    <row r="145" spans="1:7" x14ac:dyDescent="0.2">
      <c r="A145" s="26" t="s">
        <v>134</v>
      </c>
      <c r="B145" s="7">
        <f>VAR($AD$7:$AD$76)</f>
        <v>0.99565217391304417</v>
      </c>
    </row>
    <row r="146" spans="1:7" x14ac:dyDescent="0.2">
      <c r="A146" s="26" t="s">
        <v>135</v>
      </c>
      <c r="B146" s="7">
        <f>VAR($AE$7:$AE$76)</f>
        <v>0.79689440993788796</v>
      </c>
    </row>
    <row r="147" spans="1:7" x14ac:dyDescent="0.2">
      <c r="A147" s="26" t="s">
        <v>136</v>
      </c>
      <c r="B147" s="7">
        <f>VAR($AF$7:$AF$76)</f>
        <v>1.0898550724637688</v>
      </c>
    </row>
    <row r="148" spans="1:7" x14ac:dyDescent="0.2">
      <c r="A148" s="26" t="s">
        <v>137</v>
      </c>
      <c r="B148" s="7">
        <f>VAR($AI$7:$AI$76)</f>
        <v>1.5861283643892345</v>
      </c>
    </row>
    <row r="150" spans="1:7" x14ac:dyDescent="0.2">
      <c r="A150" s="27" t="s">
        <v>138</v>
      </c>
      <c r="B150" s="28">
        <f>SUM(B141:B148)</f>
        <v>8.1892339544513479</v>
      </c>
    </row>
    <row r="151" spans="1:7" x14ac:dyDescent="0.2">
      <c r="A151" s="27" t="s">
        <v>139</v>
      </c>
      <c r="B151" s="28">
        <f>VAR($AK$7:$AK$76)</f>
        <v>40.131677018633525</v>
      </c>
    </row>
    <row r="152" spans="1:7" x14ac:dyDescent="0.2">
      <c r="A152" s="27" t="s">
        <v>140</v>
      </c>
      <c r="B152" s="22">
        <v>8</v>
      </c>
    </row>
    <row r="153" spans="1:7" ht="16" x14ac:dyDescent="0.2">
      <c r="A153" s="29" t="s">
        <v>141</v>
      </c>
      <c r="B153" s="30">
        <f>(B152/(B152-1))*(1-B150/B151)</f>
        <v>0.90964674113315214</v>
      </c>
    </row>
    <row r="154" spans="1:7" x14ac:dyDescent="0.2">
      <c r="A154" s="27" t="s">
        <v>142</v>
      </c>
      <c r="B154" s="22" t="str">
        <f>IF(B153&gt;0.9,"Excellent",IF(B153&gt;=0.8,"Good",IF(B153&gt;=0.7,"Acceptable",IF(B153&gt;=0.6,"Questionable","Poor"))))</f>
        <v>Excellent</v>
      </c>
    </row>
    <row r="156" spans="1:7" ht="24" customHeight="1" x14ac:dyDescent="0.2">
      <c r="A156" s="19" t="s">
        <v>143</v>
      </c>
      <c r="B156" s="20"/>
      <c r="C156" s="20"/>
      <c r="D156" s="20"/>
      <c r="E156" s="20"/>
      <c r="F156" s="20"/>
      <c r="G156" s="20"/>
    </row>
    <row r="158" spans="1:7" x14ac:dyDescent="0.2">
      <c r="A158" s="17" t="s">
        <v>144</v>
      </c>
    </row>
    <row r="159" spans="1:7" x14ac:dyDescent="0.2">
      <c r="A159" s="21" t="s">
        <v>145</v>
      </c>
      <c r="B159" s="1" t="s">
        <v>146</v>
      </c>
      <c r="C159" s="1" t="s">
        <v>147</v>
      </c>
      <c r="D159" s="1" t="s">
        <v>148</v>
      </c>
      <c r="E159" s="1" t="s">
        <v>149</v>
      </c>
      <c r="F159" s="1" t="s">
        <v>150</v>
      </c>
      <c r="G159" s="1" t="s">
        <v>151</v>
      </c>
    </row>
    <row r="160" spans="1:7" x14ac:dyDescent="0.2">
      <c r="A160" s="26" t="s">
        <v>152</v>
      </c>
      <c r="B160" s="2">
        <f>COUNT($E$7:$E$76)</f>
        <v>70</v>
      </c>
      <c r="C160" s="7">
        <f>CORREL($E$7:$E$76,$AJ$7:$AJ$76)</f>
        <v>-3.7816003978131042E-2</v>
      </c>
      <c r="D160" s="7">
        <f>C160*SQRT(B160-2)/SQRT(1-C160^2)</f>
        <v>-0.31206196944502979</v>
      </c>
      <c r="E160" s="2">
        <f>B160-2</f>
        <v>68</v>
      </c>
      <c r="F160" s="8">
        <f>TDIST(ABS(D160),E160,2)</f>
        <v>0.7559483072480373</v>
      </c>
      <c r="G160" s="2" t="str">
        <f>IF(F160&lt;0.05,"Reject H0 (significant)","Fail to reject H0")</f>
        <v>Fail to reject H0</v>
      </c>
    </row>
    <row r="161" spans="1:7" x14ac:dyDescent="0.2">
      <c r="A161" s="26" t="s">
        <v>153</v>
      </c>
      <c r="B161" s="2">
        <f>COUNT($H$7:$H$76)</f>
        <v>69</v>
      </c>
      <c r="C161" s="7">
        <f>CORREL($H$7:$H$76,$AJ$7:$AJ$76)</f>
        <v>-6.1063826784213918E-2</v>
      </c>
      <c r="D161" s="7">
        <f>C161*SQRT(B161-2)/SQRT(1-C161^2)</f>
        <v>-0.50076345689617285</v>
      </c>
      <c r="E161" s="2">
        <f>B161-2</f>
        <v>67</v>
      </c>
      <c r="F161" s="8">
        <f>TDIST(ABS(D161),E161,2)</f>
        <v>0.61817873980066762</v>
      </c>
      <c r="G161" s="2" t="str">
        <f>IF(F161&lt;0.05,"Reject H0 (significant)","Fail to reject H0")</f>
        <v>Fail to reject H0</v>
      </c>
    </row>
    <row r="162" spans="1:7" x14ac:dyDescent="0.2">
      <c r="A162" s="26" t="s">
        <v>154</v>
      </c>
      <c r="B162" s="2">
        <f>COUNT($AR$7:$AR$76)</f>
        <v>70</v>
      </c>
      <c r="C162" s="7">
        <f>CORREL($AR$7:$AR$76,$AJ$7:$AJ$76)</f>
        <v>0.43199023259007002</v>
      </c>
      <c r="D162" s="7">
        <f>C162*SQRT(B162-2)/SQRT(1-C162^2)</f>
        <v>3.9498486437164644</v>
      </c>
      <c r="E162" s="2">
        <f>B162-2</f>
        <v>68</v>
      </c>
      <c r="F162" s="8">
        <f>TDIST(ABS(D162),E162,2)</f>
        <v>1.8829979034340632E-4</v>
      </c>
      <c r="G162" s="2" t="str">
        <f>IF(F162&lt;0.05,"Reject H0 (significant)","Fail to reject H0")</f>
        <v>Reject H0 (significant)</v>
      </c>
    </row>
    <row r="163" spans="1:7" x14ac:dyDescent="0.2">
      <c r="A163" s="26" t="s">
        <v>155</v>
      </c>
      <c r="B163" s="2">
        <f>COUNT($AS$7:$AS$76)</f>
        <v>70</v>
      </c>
      <c r="C163" s="7">
        <f>CORREL($AS$7:$AS$76,$AJ$7:$AJ$76)</f>
        <v>0.4596728955029229</v>
      </c>
      <c r="D163" s="7">
        <f>C163*SQRT(B163-2)/SQRT(1-C163^2)</f>
        <v>4.2682240059677676</v>
      </c>
      <c r="E163" s="2">
        <f>B163-2</f>
        <v>68</v>
      </c>
      <c r="F163" s="8">
        <f>TDIST(ABS(D163),E163,2)</f>
        <v>6.2506973738420991E-5</v>
      </c>
      <c r="G163" s="2" t="str">
        <f>IF(F163&lt;0.05,"Reject H0 (significant)","Fail to reject H0")</f>
        <v>Reject H0 (significant)</v>
      </c>
    </row>
    <row r="164" spans="1:7" x14ac:dyDescent="0.2">
      <c r="A164" s="26" t="s">
        <v>156</v>
      </c>
      <c r="B164" s="2">
        <f>COUNT($AM$7:$AM$76)</f>
        <v>70</v>
      </c>
      <c r="C164" s="7">
        <f>CORREL($AM$7:$AM$76,$AJ$7:$AJ$76)</f>
        <v>0.16754549243824357</v>
      </c>
      <c r="D164" s="7">
        <f>C164*SQRT(B164-2)/SQRT(1-C164^2)</f>
        <v>1.4014255926558759</v>
      </c>
      <c r="E164" s="2">
        <f>B164-2</f>
        <v>68</v>
      </c>
      <c r="F164" s="8">
        <f>TDIST(ABS(D164),E164,2)</f>
        <v>0.16563459523272134</v>
      </c>
      <c r="G164" s="2" t="str">
        <f>IF(F164&lt;0.05,"Reject H0 (significant)","Fail to reject H0")</f>
        <v>Fail to reject H0</v>
      </c>
    </row>
    <row r="167" spans="1:7" ht="24" customHeight="1" x14ac:dyDescent="0.2">
      <c r="A167" s="19" t="s">
        <v>157</v>
      </c>
      <c r="B167" s="20"/>
      <c r="C167" s="20"/>
      <c r="D167" s="20"/>
      <c r="E167" s="20"/>
      <c r="F167" s="20"/>
      <c r="G167" s="20"/>
    </row>
    <row r="169" spans="1:7" x14ac:dyDescent="0.2">
      <c r="A169" s="17" t="s">
        <v>158</v>
      </c>
    </row>
    <row r="170" spans="1:7" x14ac:dyDescent="0.2">
      <c r="A170" s="21" t="s">
        <v>159</v>
      </c>
      <c r="B170" s="1" t="s">
        <v>62</v>
      </c>
      <c r="C170" s="1" t="s">
        <v>146</v>
      </c>
      <c r="D170" s="1" t="s">
        <v>113</v>
      </c>
      <c r="E170" s="1" t="s">
        <v>114</v>
      </c>
      <c r="F170" s="1" t="s">
        <v>160</v>
      </c>
    </row>
    <row r="171" spans="1:7" x14ac:dyDescent="0.2">
      <c r="A171" s="26" t="s">
        <v>82</v>
      </c>
      <c r="B171" s="2">
        <v>1</v>
      </c>
      <c r="C171" s="2">
        <f>COUNTIF($E$7:$E$76,B171)</f>
        <v>8</v>
      </c>
      <c r="D171" s="6">
        <f>AVERAGEIF($E$7:$E$76,B171,$AJ$7:$AJ$76)</f>
        <v>3.75</v>
      </c>
      <c r="E171" s="6">
        <f>SQRT(SUMPRODUCT(($E$7:$E$76=B171)*($AJ$7:$AJ$76-D171)^2)/(C171-1))</f>
        <v>0.61961969903205261</v>
      </c>
      <c r="F171" s="8">
        <f>SUMPRODUCT(($E$7:$E$76=B171)*($AJ$7:$AJ$76-D171)^2)</f>
        <v>2.6875</v>
      </c>
    </row>
    <row r="172" spans="1:7" x14ac:dyDescent="0.2">
      <c r="A172" s="26" t="s">
        <v>85</v>
      </c>
      <c r="B172" s="2">
        <v>2</v>
      </c>
      <c r="C172" s="2">
        <f>COUNTIF($E$7:$E$76,B172)</f>
        <v>3</v>
      </c>
      <c r="D172" s="6">
        <f>AVERAGEIF($E$7:$E$76,B172,$AJ$7:$AJ$76)</f>
        <v>4.375</v>
      </c>
      <c r="E172" s="6">
        <f>SQRT(SUMPRODUCT(($E$7:$E$76=B172)*($AJ$7:$AJ$76-D172)^2)/(C172-1))</f>
        <v>0.25</v>
      </c>
      <c r="F172" s="8">
        <f>SUMPRODUCT(($E$7:$E$76=B172)*($AJ$7:$AJ$76-D172)^2)</f>
        <v>0.125</v>
      </c>
    </row>
    <row r="173" spans="1:7" x14ac:dyDescent="0.2">
      <c r="A173" s="26" t="s">
        <v>84</v>
      </c>
      <c r="B173" s="2">
        <v>3</v>
      </c>
      <c r="C173" s="2">
        <f>COUNTIF($E$7:$E$76,B173)</f>
        <v>5</v>
      </c>
      <c r="D173" s="6">
        <f>AVERAGEIF($E$7:$E$76,B173,$AJ$7:$AJ$76)</f>
        <v>3.7</v>
      </c>
      <c r="E173" s="6">
        <f>SQRT(SUMPRODUCT(($E$7:$E$76=B173)*($AJ$7:$AJ$76-D173)^2)/(C173-1))</f>
        <v>0.69933003653496817</v>
      </c>
      <c r="F173" s="8">
        <f>SUMPRODUCT(($E$7:$E$76=B173)*($AJ$7:$AJ$76-D173)^2)</f>
        <v>1.9562499999999998</v>
      </c>
    </row>
    <row r="174" spans="1:7" x14ac:dyDescent="0.2">
      <c r="A174" s="26" t="s">
        <v>83</v>
      </c>
      <c r="B174" s="2">
        <v>4</v>
      </c>
      <c r="C174" s="2">
        <f>COUNTIF($E$7:$E$76,B174)</f>
        <v>6</v>
      </c>
      <c r="D174" s="6">
        <f>AVERAGEIF($E$7:$E$76,B174,$AJ$7:$AJ$76)</f>
        <v>3.75</v>
      </c>
      <c r="E174" s="6">
        <f>SQRT(SUMPRODUCT(($E$7:$E$76=B174)*($AJ$7:$AJ$76-D174)^2)/(C174-1))</f>
        <v>0.32596012026013244</v>
      </c>
      <c r="F174" s="8">
        <f>SUMPRODUCT(($E$7:$E$76=B174)*($AJ$7:$AJ$76-D174)^2)</f>
        <v>0.53125</v>
      </c>
    </row>
    <row r="175" spans="1:7" x14ac:dyDescent="0.2">
      <c r="A175" s="26" t="s">
        <v>81</v>
      </c>
      <c r="B175" s="2">
        <v>5</v>
      </c>
      <c r="C175" s="2">
        <f>COUNTIF($E$7:$E$76,B175)</f>
        <v>48</v>
      </c>
      <c r="D175" s="6">
        <f>AVERAGEIF($E$7:$E$76,B175,$AJ$7:$AJ$76)</f>
        <v>3.7734375</v>
      </c>
      <c r="E175" s="6">
        <f>SQRT(SUMPRODUCT(($E$7:$E$76=B175)*($AJ$7:$AJ$76-D175)^2)/(C175-1))</f>
        <v>0.88563305657831859</v>
      </c>
      <c r="F175" s="8">
        <f>SUMPRODUCT(($E$7:$E$76=B175)*($AJ$7:$AJ$76-D175)^2)</f>
        <v>36.8642578125</v>
      </c>
    </row>
    <row r="176" spans="1:7" x14ac:dyDescent="0.2">
      <c r="A176" s="27" t="s">
        <v>161</v>
      </c>
      <c r="C176" s="22">
        <f>SUM(C171:C175)</f>
        <v>70</v>
      </c>
    </row>
    <row r="177" spans="1:7" x14ac:dyDescent="0.2">
      <c r="A177" s="27" t="s">
        <v>162</v>
      </c>
      <c r="D177" s="31">
        <f>SUMPRODUCT(C171:C175,D171:D175)/C176</f>
        <v>3.7892857142857141</v>
      </c>
    </row>
    <row r="179" spans="1:7" x14ac:dyDescent="0.2">
      <c r="A179" s="32" t="s">
        <v>163</v>
      </c>
      <c r="B179" s="9" t="s">
        <v>164</v>
      </c>
      <c r="C179" s="9" t="s">
        <v>149</v>
      </c>
      <c r="D179" s="9" t="s">
        <v>165</v>
      </c>
      <c r="E179" s="9" t="s">
        <v>166</v>
      </c>
      <c r="F179" s="9" t="s">
        <v>167</v>
      </c>
      <c r="G179" s="9" t="s">
        <v>150</v>
      </c>
    </row>
    <row r="180" spans="1:7" x14ac:dyDescent="0.2">
      <c r="A180" s="26" t="s">
        <v>168</v>
      </c>
      <c r="B180" s="7">
        <f>C171*(D171-$D$177)^2+C172*(D172-$D$177)^2+C173*(D173-$D$177)^2+C174*(D174-$D$177)^2+C175*(D175-$D$177)^2</f>
        <v>1.1027064732142857</v>
      </c>
      <c r="C180" s="7">
        <v>4</v>
      </c>
      <c r="D180" s="7">
        <f>B180/C180</f>
        <v>0.27567661830357143</v>
      </c>
      <c r="E180" s="10"/>
      <c r="F180" s="11"/>
      <c r="G180" s="10"/>
    </row>
    <row r="181" spans="1:7" x14ac:dyDescent="0.2">
      <c r="A181" s="26" t="s">
        <v>169</v>
      </c>
      <c r="B181" s="7">
        <f>SUM(F171:F175)</f>
        <v>42.164257812499997</v>
      </c>
      <c r="C181" s="7">
        <f>C176-5</f>
        <v>65</v>
      </c>
      <c r="D181" s="7">
        <f>B181/C181</f>
        <v>0.64868088942307689</v>
      </c>
      <c r="E181" s="8">
        <f>D180/D181</f>
        <v>0.42498032977162686</v>
      </c>
      <c r="F181" s="7">
        <f>FINV(0.05,C180,C181)</f>
        <v>2.5130400960759935</v>
      </c>
      <c r="G181" s="8">
        <f>FDIST(E181,C180,C181)</f>
        <v>0.790056653125084</v>
      </c>
    </row>
    <row r="182" spans="1:7" x14ac:dyDescent="0.2">
      <c r="A182" s="26" t="s">
        <v>170</v>
      </c>
      <c r="B182" s="7">
        <f>B180+B181</f>
        <v>43.26696428571428</v>
      </c>
      <c r="C182" s="7">
        <f>C176-1</f>
        <v>69</v>
      </c>
      <c r="D182" s="11"/>
      <c r="E182" s="10"/>
      <c r="F182" s="11"/>
      <c r="G182" s="10"/>
    </row>
    <row r="184" spans="1:7" x14ac:dyDescent="0.2">
      <c r="A184" s="33" t="s">
        <v>151</v>
      </c>
      <c r="B184" s="34" t="str">
        <f>IF(G181&lt;0.05,"Reject H0 (significant)","Fail to reject H0")</f>
        <v>Fail to reject H0</v>
      </c>
    </row>
    <row r="187" spans="1:7" ht="24" customHeight="1" x14ac:dyDescent="0.2">
      <c r="A187" s="19" t="s">
        <v>171</v>
      </c>
      <c r="B187" s="20"/>
      <c r="C187" s="20"/>
      <c r="D187" s="20"/>
      <c r="E187" s="20"/>
      <c r="F187" s="20"/>
      <c r="G187" s="20"/>
    </row>
    <row r="189" spans="1:7" x14ac:dyDescent="0.2">
      <c r="A189" s="17" t="s">
        <v>158</v>
      </c>
    </row>
    <row r="190" spans="1:7" x14ac:dyDescent="0.2">
      <c r="A190" s="21" t="s">
        <v>159</v>
      </c>
      <c r="B190" s="1" t="s">
        <v>62</v>
      </c>
      <c r="C190" s="1" t="s">
        <v>146</v>
      </c>
      <c r="D190" s="1" t="s">
        <v>113</v>
      </c>
      <c r="E190" s="1" t="s">
        <v>114</v>
      </c>
      <c r="F190" s="1" t="s">
        <v>160</v>
      </c>
    </row>
    <row r="191" spans="1:7" x14ac:dyDescent="0.2">
      <c r="A191" s="26" t="s">
        <v>101</v>
      </c>
      <c r="B191" s="2">
        <v>1</v>
      </c>
      <c r="C191" s="2">
        <f>COUNTIF($H$7:$H$76,B191)</f>
        <v>23</v>
      </c>
      <c r="D191" s="6">
        <f>AVERAGEIF($H$7:$H$76,B191,$AJ$7:$AJ$76)</f>
        <v>4.0923913043478262</v>
      </c>
      <c r="E191" s="6">
        <f>SQRT(SUMPRODUCT(($H$7:$H$76=B191)*($AJ$7:$AJ$76-D191)^2)/(C191-1))</f>
        <v>0.65628234909917427</v>
      </c>
      <c r="F191" s="8">
        <f>SUMPRODUCT(($H$7:$H$76=B191)*($AJ$7:$AJ$76-D191)^2)</f>
        <v>9.4755434782608692</v>
      </c>
    </row>
    <row r="192" spans="1:7" x14ac:dyDescent="0.2">
      <c r="A192" s="26" t="s">
        <v>100</v>
      </c>
      <c r="B192" s="2">
        <v>2</v>
      </c>
      <c r="C192" s="2">
        <f>COUNTIF($H$7:$H$76,B192)</f>
        <v>29</v>
      </c>
      <c r="D192" s="6">
        <f>AVERAGEIF($H$7:$H$76,B192,$AJ$7:$AJ$76)</f>
        <v>3.5086206896551726</v>
      </c>
      <c r="E192" s="6">
        <f>SQRT(SUMPRODUCT(($H$7:$H$76=B192)*($AJ$7:$AJ$76-D192)^2)/(C192-1))</f>
        <v>0.9099714443633109</v>
      </c>
      <c r="F192" s="8">
        <f>SUMPRODUCT(($H$7:$H$76=B192)*($AJ$7:$AJ$76-D192)^2)</f>
        <v>23.185344827586206</v>
      </c>
    </row>
    <row r="193" spans="1:7" x14ac:dyDescent="0.2">
      <c r="A193" s="26" t="s">
        <v>103</v>
      </c>
      <c r="B193" s="2">
        <v>3</v>
      </c>
      <c r="C193" s="2">
        <f>COUNTIF($H$7:$H$76,B193)</f>
        <v>6</v>
      </c>
      <c r="D193" s="6">
        <f>AVERAGEIF($H$7:$H$76,B193,$AJ$7:$AJ$76)</f>
        <v>3.75</v>
      </c>
      <c r="E193" s="6">
        <f>SQRT(SUMPRODUCT(($H$7:$H$76=B193)*($AJ$7:$AJ$76-D193)^2)/(C193-1))</f>
        <v>0.58094750193111255</v>
      </c>
      <c r="F193" s="8">
        <f>SUMPRODUCT(($H$7:$H$76=B193)*($AJ$7:$AJ$76-D193)^2)</f>
        <v>1.6875</v>
      </c>
    </row>
    <row r="194" spans="1:7" x14ac:dyDescent="0.2">
      <c r="A194" s="26" t="s">
        <v>172</v>
      </c>
      <c r="B194" s="2">
        <v>4</v>
      </c>
      <c r="C194" s="2">
        <f>COUNTIF($H$7:$H$76,B194)</f>
        <v>3</v>
      </c>
      <c r="D194" s="6">
        <f>AVERAGEIF($H$7:$H$76,B194,$AJ$7:$AJ$76)</f>
        <v>4</v>
      </c>
      <c r="E194" s="6">
        <f>SQRT(SUMPRODUCT(($H$7:$H$76=B194)*($AJ$7:$AJ$76-D194)^2)/(C194-1))</f>
        <v>0.125</v>
      </c>
      <c r="F194" s="8">
        <f>SUMPRODUCT(($H$7:$H$76=B194)*($AJ$7:$AJ$76-D194)^2)</f>
        <v>3.125E-2</v>
      </c>
    </row>
    <row r="195" spans="1:7" x14ac:dyDescent="0.2">
      <c r="A195" s="26" t="s">
        <v>102</v>
      </c>
      <c r="B195" s="2">
        <v>5</v>
      </c>
      <c r="C195" s="2">
        <f>COUNTIF($H$7:$H$76,B195)</f>
        <v>8</v>
      </c>
      <c r="D195" s="6">
        <f>AVERAGEIF($H$7:$H$76,B195,$AJ$7:$AJ$76)</f>
        <v>3.859375</v>
      </c>
      <c r="E195" s="6">
        <f>SQRT(SUMPRODUCT(($H$7:$H$76=B195)*($AJ$7:$AJ$76-D195)^2)/(C195-1))</f>
        <v>0.78044601488050225</v>
      </c>
      <c r="F195" s="8">
        <f>SUMPRODUCT(($H$7:$H$76=B195)*($AJ$7:$AJ$76-D195)^2)</f>
        <v>4.263671875</v>
      </c>
    </row>
    <row r="196" spans="1:7" x14ac:dyDescent="0.2">
      <c r="A196" s="27" t="s">
        <v>161</v>
      </c>
      <c r="C196" s="22">
        <f>SUM(C191:C195)</f>
        <v>69</v>
      </c>
    </row>
    <row r="197" spans="1:7" x14ac:dyDescent="0.2">
      <c r="A197" s="27" t="s">
        <v>162</v>
      </c>
      <c r="D197" s="31">
        <f>SUMPRODUCT(C191:C195,D191:D195)/C196</f>
        <v>3.7862318840579712</v>
      </c>
    </row>
    <row r="199" spans="1:7" x14ac:dyDescent="0.2">
      <c r="A199" s="32" t="s">
        <v>163</v>
      </c>
      <c r="B199" s="9" t="s">
        <v>164</v>
      </c>
      <c r="C199" s="9" t="s">
        <v>149</v>
      </c>
      <c r="D199" s="9" t="s">
        <v>165</v>
      </c>
      <c r="E199" s="9" t="s">
        <v>166</v>
      </c>
      <c r="F199" s="9" t="s">
        <v>167</v>
      </c>
      <c r="G199" s="9" t="s">
        <v>150</v>
      </c>
    </row>
    <row r="200" spans="1:7" x14ac:dyDescent="0.2">
      <c r="A200" s="26" t="s">
        <v>168</v>
      </c>
      <c r="B200" s="7">
        <f>C191*(D191-$D$197)^2+C192*(D192-$D$197)^2+C193*(D193-$D$197)^2+C194*(D194-$D$197)^2+C195*(D195-$D$197)^2</f>
        <v>4.578610109007994</v>
      </c>
      <c r="C200" s="7">
        <v>4</v>
      </c>
      <c r="D200" s="7">
        <f>B200/C200</f>
        <v>1.1446525272519985</v>
      </c>
      <c r="E200" s="10"/>
      <c r="F200" s="11"/>
      <c r="G200" s="10"/>
    </row>
    <row r="201" spans="1:7" x14ac:dyDescent="0.2">
      <c r="A201" s="26" t="s">
        <v>169</v>
      </c>
      <c r="B201" s="7">
        <f>SUM(F191:F195)</f>
        <v>38.643310180847074</v>
      </c>
      <c r="C201" s="7">
        <f>C196-5</f>
        <v>64</v>
      </c>
      <c r="D201" s="7">
        <f>B201/C201</f>
        <v>0.60380172157573553</v>
      </c>
      <c r="E201" s="8">
        <f>D200/D201</f>
        <v>1.8957424040872388</v>
      </c>
      <c r="F201" s="7">
        <f>FINV(0.05,C200,C201)</f>
        <v>2.5153179143444233</v>
      </c>
      <c r="G201" s="8">
        <f>FDIST(E201,C200,C201)</f>
        <v>0.12198246324548936</v>
      </c>
    </row>
    <row r="202" spans="1:7" x14ac:dyDescent="0.2">
      <c r="A202" s="26" t="s">
        <v>170</v>
      </c>
      <c r="B202" s="7">
        <f>B200+B201</f>
        <v>43.221920289855071</v>
      </c>
      <c r="C202" s="7">
        <f>C196-1</f>
        <v>68</v>
      </c>
      <c r="D202" s="11"/>
      <c r="E202" s="10"/>
      <c r="F202" s="11"/>
      <c r="G202" s="10"/>
    </row>
    <row r="204" spans="1:7" x14ac:dyDescent="0.2">
      <c r="A204" s="33" t="s">
        <v>151</v>
      </c>
      <c r="B204" s="34" t="str">
        <f>IF(G201&lt;0.05,"Reject H0 (significant)","Fail to reject H0")</f>
        <v>Fail to reject H0</v>
      </c>
    </row>
    <row r="207" spans="1:7" ht="24" customHeight="1" x14ac:dyDescent="0.2">
      <c r="A207" s="19" t="s">
        <v>173</v>
      </c>
      <c r="B207" s="20"/>
      <c r="C207" s="20"/>
      <c r="D207" s="20"/>
    </row>
    <row r="209" spans="1:5" x14ac:dyDescent="0.2">
      <c r="A209" s="17" t="s">
        <v>174</v>
      </c>
    </row>
    <row r="210" spans="1:5" ht="16" x14ac:dyDescent="0.2">
      <c r="A210" s="29" t="s">
        <v>175</v>
      </c>
    </row>
    <row r="211" spans="1:5" x14ac:dyDescent="0.2">
      <c r="A211" s="32" t="s">
        <v>176</v>
      </c>
      <c r="B211" s="9" t="s">
        <v>49</v>
      </c>
      <c r="C211" s="9" t="s">
        <v>53</v>
      </c>
      <c r="D211" s="9" t="s">
        <v>62</v>
      </c>
      <c r="E211" s="9" t="s">
        <v>177</v>
      </c>
    </row>
    <row r="212" spans="1:5" x14ac:dyDescent="0.2">
      <c r="A212" s="26" t="s">
        <v>82</v>
      </c>
      <c r="B212" s="2">
        <f t="shared" ref="B212:C216" si="14">COUNTIFS($E$7:$E$76,$D212,$AL$7:$AL$76,B$211)</f>
        <v>4</v>
      </c>
      <c r="C212" s="2">
        <f t="shared" si="14"/>
        <v>4</v>
      </c>
      <c r="D212" s="3">
        <v>1</v>
      </c>
      <c r="E212" s="2">
        <f>SUM(B212:C212)</f>
        <v>8</v>
      </c>
    </row>
    <row r="213" spans="1:5" x14ac:dyDescent="0.2">
      <c r="A213" s="26" t="s">
        <v>85</v>
      </c>
      <c r="B213" s="2">
        <f t="shared" si="14"/>
        <v>3</v>
      </c>
      <c r="C213" s="2">
        <f t="shared" si="14"/>
        <v>0</v>
      </c>
      <c r="D213" s="3">
        <v>2</v>
      </c>
      <c r="E213" s="2">
        <f>SUM(B213:C213)</f>
        <v>3</v>
      </c>
    </row>
    <row r="214" spans="1:5" x14ac:dyDescent="0.2">
      <c r="A214" s="26" t="s">
        <v>84</v>
      </c>
      <c r="B214" s="2">
        <f t="shared" si="14"/>
        <v>1</v>
      </c>
      <c r="C214" s="2">
        <f t="shared" si="14"/>
        <v>4</v>
      </c>
      <c r="D214" s="3">
        <v>3</v>
      </c>
      <c r="E214" s="2">
        <f>SUM(B214:C214)</f>
        <v>5</v>
      </c>
    </row>
    <row r="215" spans="1:5" x14ac:dyDescent="0.2">
      <c r="A215" s="26" t="s">
        <v>83</v>
      </c>
      <c r="B215" s="2">
        <f t="shared" si="14"/>
        <v>2</v>
      </c>
      <c r="C215" s="2">
        <f t="shared" si="14"/>
        <v>4</v>
      </c>
      <c r="D215" s="3">
        <v>4</v>
      </c>
      <c r="E215" s="2">
        <f>SUM(B215:C215)</f>
        <v>6</v>
      </c>
    </row>
    <row r="216" spans="1:5" x14ac:dyDescent="0.2">
      <c r="A216" s="26" t="s">
        <v>81</v>
      </c>
      <c r="B216" s="2">
        <f t="shared" si="14"/>
        <v>22</v>
      </c>
      <c r="C216" s="2">
        <f t="shared" si="14"/>
        <v>26</v>
      </c>
      <c r="D216" s="3">
        <v>5</v>
      </c>
      <c r="E216" s="2">
        <f>SUM(B216:C216)</f>
        <v>48</v>
      </c>
    </row>
    <row r="217" spans="1:5" x14ac:dyDescent="0.2">
      <c r="A217" s="27" t="s">
        <v>178</v>
      </c>
      <c r="B217" s="5">
        <f>SUM(B212:B216)</f>
        <v>32</v>
      </c>
      <c r="C217" s="5">
        <f>SUM(C212:C216)</f>
        <v>38</v>
      </c>
      <c r="D217" s="12"/>
      <c r="E217" s="5">
        <f>SUM(E212:E216)</f>
        <v>70</v>
      </c>
    </row>
    <row r="219" spans="1:5" x14ac:dyDescent="0.2">
      <c r="A219" s="27" t="s">
        <v>179</v>
      </c>
    </row>
    <row r="220" spans="1:5" x14ac:dyDescent="0.2">
      <c r="A220" s="32" t="s">
        <v>176</v>
      </c>
      <c r="B220" s="9" t="s">
        <v>49</v>
      </c>
      <c r="C220" s="9" t="s">
        <v>53</v>
      </c>
    </row>
    <row r="221" spans="1:5" x14ac:dyDescent="0.2">
      <c r="A221" s="26" t="s">
        <v>82</v>
      </c>
      <c r="B221" s="6">
        <f>E212*B217/E217</f>
        <v>3.657142857142857</v>
      </c>
      <c r="C221" s="6">
        <f>E212*C217/E217</f>
        <v>4.3428571428571425</v>
      </c>
    </row>
    <row r="222" spans="1:5" x14ac:dyDescent="0.2">
      <c r="A222" s="26" t="s">
        <v>85</v>
      </c>
      <c r="B222" s="6">
        <f>E213*B217/E217</f>
        <v>1.3714285714285714</v>
      </c>
      <c r="C222" s="6">
        <f>E213*C217/E217</f>
        <v>1.6285714285714286</v>
      </c>
    </row>
    <row r="223" spans="1:5" x14ac:dyDescent="0.2">
      <c r="A223" s="26" t="s">
        <v>84</v>
      </c>
      <c r="B223" s="6">
        <f>E214*B217/E217</f>
        <v>2.2857142857142856</v>
      </c>
      <c r="C223" s="6">
        <f>E214*C217/E217</f>
        <v>2.7142857142857144</v>
      </c>
    </row>
    <row r="224" spans="1:5" x14ac:dyDescent="0.2">
      <c r="A224" s="26" t="s">
        <v>83</v>
      </c>
      <c r="B224" s="6">
        <f>E215*B217/E217</f>
        <v>2.7428571428571429</v>
      </c>
      <c r="C224" s="6">
        <f>E215*C217/E217</f>
        <v>3.2571428571428571</v>
      </c>
    </row>
    <row r="225" spans="1:5" x14ac:dyDescent="0.2">
      <c r="A225" s="26" t="s">
        <v>81</v>
      </c>
      <c r="B225" s="6">
        <f>E216*B217/E217</f>
        <v>21.942857142857143</v>
      </c>
      <c r="C225" s="6">
        <f>E216*C217/E217</f>
        <v>26.057142857142857</v>
      </c>
    </row>
    <row r="227" spans="1:5" x14ac:dyDescent="0.2">
      <c r="A227" s="27" t="s">
        <v>180</v>
      </c>
      <c r="B227" s="35">
        <f>(B212-B221)^2/B221+(C212-C221)^2/C221+(B213-B222)^2/B222+(C213-C222)^2/C222+(B214-B223)^2/B223+(C214-C223)^2/C223+(B215-B224)^2/B224+(C215-C224)^2/C224+(B216-B225)^2/B225+(C216-C225)^2/C225</f>
        <v>5.3248355263157885</v>
      </c>
    </row>
    <row r="228" spans="1:5" x14ac:dyDescent="0.2">
      <c r="A228" s="27" t="s">
        <v>181</v>
      </c>
      <c r="B228" s="22">
        <v>4</v>
      </c>
    </row>
    <row r="229" spans="1:5" x14ac:dyDescent="0.2">
      <c r="A229" s="27" t="s">
        <v>182</v>
      </c>
      <c r="B229" s="35">
        <f>CHIINV(0.05,B228)</f>
        <v>9.4877290367811575</v>
      </c>
    </row>
    <row r="230" spans="1:5" x14ac:dyDescent="0.2">
      <c r="A230" s="27" t="s">
        <v>150</v>
      </c>
      <c r="B230" s="35">
        <f>CHIDIST(B227,B228)</f>
        <v>0.25556097635246672</v>
      </c>
    </row>
    <row r="231" spans="1:5" x14ac:dyDescent="0.2">
      <c r="A231" s="33" t="s">
        <v>151</v>
      </c>
      <c r="B231" s="34" t="str">
        <f>IF(B230&lt;0.05,"Reject H0 (significant association)","Fail to reject H0 (no significant association)")</f>
        <v>Fail to reject H0 (no significant association)</v>
      </c>
    </row>
    <row r="234" spans="1:5" ht="16" x14ac:dyDescent="0.2">
      <c r="A234" s="29" t="s">
        <v>183</v>
      </c>
    </row>
    <row r="235" spans="1:5" x14ac:dyDescent="0.2">
      <c r="A235" s="32" t="s">
        <v>184</v>
      </c>
      <c r="B235" s="9" t="s">
        <v>49</v>
      </c>
      <c r="C235" s="9" t="s">
        <v>53</v>
      </c>
      <c r="D235" s="9" t="s">
        <v>62</v>
      </c>
      <c r="E235" s="9" t="s">
        <v>177</v>
      </c>
    </row>
    <row r="236" spans="1:5" x14ac:dyDescent="0.2">
      <c r="A236" s="26" t="s">
        <v>54</v>
      </c>
      <c r="B236" s="2">
        <f>COUNTIFS($AP$7:$AP$76,$D236,$AL$7:$AL$76,B$235)</f>
        <v>6</v>
      </c>
      <c r="C236" s="2">
        <f>COUNTIFS($AP$7:$AP$76,$D236,$AL$7:$AL$76,C$235)</f>
        <v>5</v>
      </c>
      <c r="D236" s="3" t="s">
        <v>54</v>
      </c>
      <c r="E236" s="2">
        <f>SUM(B236:C236)</f>
        <v>11</v>
      </c>
    </row>
    <row r="237" spans="1:5" x14ac:dyDescent="0.2">
      <c r="A237" s="26" t="s">
        <v>51</v>
      </c>
      <c r="B237" s="2">
        <f>COUNTIFS($AP$7:$AP$76,$D237,$AL$7:$AL$76,B$235)</f>
        <v>26</v>
      </c>
      <c r="C237" s="2">
        <f>COUNTIFS($AP$7:$AP$76,$D237,$AL$7:$AL$76,C$235)</f>
        <v>33</v>
      </c>
      <c r="D237" s="3" t="s">
        <v>51</v>
      </c>
      <c r="E237" s="2">
        <f>SUM(B237:C237)</f>
        <v>59</v>
      </c>
    </row>
    <row r="238" spans="1:5" x14ac:dyDescent="0.2">
      <c r="A238" s="27" t="s">
        <v>178</v>
      </c>
      <c r="B238" s="5">
        <f>SUM(B236:B237)</f>
        <v>32</v>
      </c>
      <c r="C238" s="5">
        <f>SUM(C236:C237)</f>
        <v>38</v>
      </c>
      <c r="D238" s="12"/>
      <c r="E238" s="5">
        <f>SUM(E236:E237)</f>
        <v>70</v>
      </c>
    </row>
    <row r="240" spans="1:5" x14ac:dyDescent="0.2">
      <c r="A240" s="27" t="s">
        <v>179</v>
      </c>
    </row>
    <row r="241" spans="1:5" x14ac:dyDescent="0.2">
      <c r="A241" s="32" t="s">
        <v>184</v>
      </c>
      <c r="B241" s="9" t="s">
        <v>49</v>
      </c>
      <c r="C241" s="9" t="s">
        <v>53</v>
      </c>
    </row>
    <row r="242" spans="1:5" x14ac:dyDescent="0.2">
      <c r="A242" s="26" t="s">
        <v>54</v>
      </c>
      <c r="B242" s="6">
        <f>E236*B238/E238</f>
        <v>5.0285714285714285</v>
      </c>
      <c r="C242" s="6">
        <f>E236*C238/E238</f>
        <v>5.9714285714285715</v>
      </c>
    </row>
    <row r="243" spans="1:5" x14ac:dyDescent="0.2">
      <c r="A243" s="26" t="s">
        <v>51</v>
      </c>
      <c r="B243" s="6">
        <f>E237*B238/E238</f>
        <v>26.971428571428572</v>
      </c>
      <c r="C243" s="6">
        <f>E237*C238/E238</f>
        <v>32.028571428571432</v>
      </c>
    </row>
    <row r="245" spans="1:5" x14ac:dyDescent="0.2">
      <c r="A245" s="27" t="s">
        <v>185</v>
      </c>
      <c r="B245" s="35">
        <f>(ABS(B236-B242)-0.5)^2/B242+(ABS(C236-C242)-0.5)^2/C242+(ABS(B237-B243)-0.5)^2/B243+(ABS(C237-C243)-0.5)^2/C243</f>
        <v>9.6593443354148018E-2</v>
      </c>
    </row>
    <row r="246" spans="1:5" x14ac:dyDescent="0.2">
      <c r="A246" s="27" t="s">
        <v>181</v>
      </c>
      <c r="B246" s="22">
        <v>1</v>
      </c>
    </row>
    <row r="247" spans="1:5" x14ac:dyDescent="0.2">
      <c r="A247" s="27" t="s">
        <v>182</v>
      </c>
      <c r="B247" s="35">
        <f>CHIINV(0.05,B246)</f>
        <v>3.8414588206941236</v>
      </c>
    </row>
    <row r="248" spans="1:5" x14ac:dyDescent="0.2">
      <c r="A248" s="27" t="s">
        <v>150</v>
      </c>
      <c r="B248" s="35">
        <f>CHIDIST(B245,B246)</f>
        <v>0.75595657945946348</v>
      </c>
    </row>
    <row r="249" spans="1:5" x14ac:dyDescent="0.2">
      <c r="A249" s="33" t="s">
        <v>151</v>
      </c>
      <c r="B249" s="34" t="str">
        <f>IF(B248&lt;0.05,"Reject H0 (significant association)","Fail to reject H0 (no significant association)")</f>
        <v>Fail to reject H0 (no significant association)</v>
      </c>
    </row>
    <row r="252" spans="1:5" ht="16" x14ac:dyDescent="0.2">
      <c r="A252" s="29" t="s">
        <v>186</v>
      </c>
    </row>
    <row r="253" spans="1:5" x14ac:dyDescent="0.2">
      <c r="A253" s="32" t="s">
        <v>187</v>
      </c>
      <c r="B253" s="9" t="s">
        <v>49</v>
      </c>
      <c r="C253" s="9" t="s">
        <v>53</v>
      </c>
      <c r="D253" s="9" t="s">
        <v>62</v>
      </c>
      <c r="E253" s="9" t="s">
        <v>177</v>
      </c>
    </row>
    <row r="254" spans="1:5" x14ac:dyDescent="0.2">
      <c r="A254" s="26" t="s">
        <v>49</v>
      </c>
      <c r="B254" s="2">
        <f>COUNTIFS($AU$7:$AU$76,$D254,$AL$7:$AL$76,B$253)</f>
        <v>13</v>
      </c>
      <c r="C254" s="2">
        <f>COUNTIFS($AU$7:$AU$76,$D254,$AL$7:$AL$76,C$253)</f>
        <v>6</v>
      </c>
      <c r="D254" s="3" t="s">
        <v>49</v>
      </c>
      <c r="E254" s="2">
        <f>SUM(B254:C254)</f>
        <v>19</v>
      </c>
    </row>
    <row r="255" spans="1:5" x14ac:dyDescent="0.2">
      <c r="A255" s="26" t="s">
        <v>53</v>
      </c>
      <c r="B255" s="2">
        <f>COUNTIFS($AU$7:$AU$76,$D255,$AL$7:$AL$76,B$253)</f>
        <v>19</v>
      </c>
      <c r="C255" s="2">
        <f>COUNTIFS($AU$7:$AU$76,$D255,$AL$7:$AL$76,C$253)</f>
        <v>32</v>
      </c>
      <c r="D255" s="3" t="s">
        <v>53</v>
      </c>
      <c r="E255" s="2">
        <f>SUM(B255:C255)</f>
        <v>51</v>
      </c>
    </row>
    <row r="256" spans="1:5" x14ac:dyDescent="0.2">
      <c r="A256" s="27" t="s">
        <v>178</v>
      </c>
      <c r="B256" s="5">
        <f>SUM(B254:B255)</f>
        <v>32</v>
      </c>
      <c r="C256" s="5">
        <f>SUM(C254:C255)</f>
        <v>38</v>
      </c>
      <c r="D256" s="12"/>
      <c r="E256" s="5">
        <f>SUM(E254:E255)</f>
        <v>70</v>
      </c>
    </row>
    <row r="258" spans="1:5" x14ac:dyDescent="0.2">
      <c r="A258" s="27" t="s">
        <v>179</v>
      </c>
    </row>
    <row r="259" spans="1:5" x14ac:dyDescent="0.2">
      <c r="A259" s="32" t="s">
        <v>187</v>
      </c>
      <c r="B259" s="9" t="s">
        <v>49</v>
      </c>
      <c r="C259" s="9" t="s">
        <v>53</v>
      </c>
    </row>
    <row r="260" spans="1:5" x14ac:dyDescent="0.2">
      <c r="A260" s="26" t="s">
        <v>49</v>
      </c>
      <c r="B260" s="6">
        <f>E254*B256/E256</f>
        <v>8.6857142857142851</v>
      </c>
      <c r="C260" s="6">
        <f>E254*C256/E256</f>
        <v>10.314285714285715</v>
      </c>
    </row>
    <row r="261" spans="1:5" x14ac:dyDescent="0.2">
      <c r="A261" s="26" t="s">
        <v>53</v>
      </c>
      <c r="B261" s="6">
        <f>E255*B256/E256</f>
        <v>23.314285714285713</v>
      </c>
      <c r="C261" s="6">
        <f>E255*C256/E256</f>
        <v>27.685714285714287</v>
      </c>
    </row>
    <row r="263" spans="1:5" x14ac:dyDescent="0.2">
      <c r="A263" s="27" t="s">
        <v>185</v>
      </c>
      <c r="B263" s="35">
        <f>(ABS(B254-B260)-0.5)^2/B260+(ABS(C254-C260)-0.5)^2/C260+(ABS(B255-B261)-0.5)^2/B261+(ABS(C255-C261)-0.5)^2/C261</f>
        <v>4.23509552713052</v>
      </c>
    </row>
    <row r="264" spans="1:5" x14ac:dyDescent="0.2">
      <c r="A264" s="27" t="s">
        <v>181</v>
      </c>
      <c r="B264" s="22">
        <v>1</v>
      </c>
    </row>
    <row r="265" spans="1:5" x14ac:dyDescent="0.2">
      <c r="A265" s="27" t="s">
        <v>182</v>
      </c>
      <c r="B265" s="35">
        <f>CHIINV(0.05,B264)</f>
        <v>3.8414588206941236</v>
      </c>
    </row>
    <row r="266" spans="1:5" x14ac:dyDescent="0.2">
      <c r="A266" s="27" t="s">
        <v>150</v>
      </c>
      <c r="B266" s="35">
        <f>CHIDIST(B263,B264)</f>
        <v>3.9596395262860885E-2</v>
      </c>
    </row>
    <row r="267" spans="1:5" x14ac:dyDescent="0.2">
      <c r="A267" s="33" t="s">
        <v>151</v>
      </c>
      <c r="B267" s="34" t="str">
        <f>IF(B266&lt;0.05,"Reject H0 (significant association)","Fail to reject H0 (no significant association)")</f>
        <v>Reject H0 (significant association)</v>
      </c>
    </row>
    <row r="270" spans="1:5" ht="16" x14ac:dyDescent="0.2">
      <c r="A270" s="29" t="s">
        <v>188</v>
      </c>
    </row>
    <row r="271" spans="1:5" x14ac:dyDescent="0.2">
      <c r="A271" s="32" t="s">
        <v>189</v>
      </c>
      <c r="B271" s="9" t="s">
        <v>49</v>
      </c>
      <c r="C271" s="9" t="s">
        <v>53</v>
      </c>
      <c r="D271" s="9" t="s">
        <v>62</v>
      </c>
      <c r="E271" s="9" t="s">
        <v>177</v>
      </c>
    </row>
    <row r="272" spans="1:5" x14ac:dyDescent="0.2">
      <c r="A272" s="26" t="s">
        <v>49</v>
      </c>
      <c r="B272" s="2">
        <f>COUNTIFS($AV$7:$AV$76,$D272,$AL$7:$AL$76,B$271)</f>
        <v>19</v>
      </c>
      <c r="C272" s="2">
        <f>COUNTIFS($AV$7:$AV$76,$D272,$AL$7:$AL$76,C$271)</f>
        <v>5</v>
      </c>
      <c r="D272" s="3" t="s">
        <v>49</v>
      </c>
      <c r="E272" s="2">
        <f>SUM(B272:C272)</f>
        <v>24</v>
      </c>
    </row>
    <row r="273" spans="1:5" x14ac:dyDescent="0.2">
      <c r="A273" s="26" t="s">
        <v>53</v>
      </c>
      <c r="B273" s="2">
        <f>COUNTIFS($AV$7:$AV$76,$D273,$AL$7:$AL$76,B$271)</f>
        <v>13</v>
      </c>
      <c r="C273" s="2">
        <f>COUNTIFS($AV$7:$AV$76,$D273,$AL$7:$AL$76,C$271)</f>
        <v>33</v>
      </c>
      <c r="D273" s="3" t="s">
        <v>53</v>
      </c>
      <c r="E273" s="2">
        <f>SUM(B273:C273)</f>
        <v>46</v>
      </c>
    </row>
    <row r="274" spans="1:5" x14ac:dyDescent="0.2">
      <c r="A274" s="27" t="s">
        <v>178</v>
      </c>
      <c r="B274" s="5">
        <f>SUM(B272:B273)</f>
        <v>32</v>
      </c>
      <c r="C274" s="5">
        <f>SUM(C272:C273)</f>
        <v>38</v>
      </c>
      <c r="D274" s="12"/>
      <c r="E274" s="5">
        <f>SUM(E272:E273)</f>
        <v>70</v>
      </c>
    </row>
    <row r="276" spans="1:5" x14ac:dyDescent="0.2">
      <c r="A276" s="27" t="s">
        <v>179</v>
      </c>
    </row>
    <row r="277" spans="1:5" x14ac:dyDescent="0.2">
      <c r="A277" s="32" t="s">
        <v>189</v>
      </c>
      <c r="B277" s="9" t="s">
        <v>49</v>
      </c>
      <c r="C277" s="9" t="s">
        <v>53</v>
      </c>
    </row>
    <row r="278" spans="1:5" x14ac:dyDescent="0.2">
      <c r="A278" s="26" t="s">
        <v>49</v>
      </c>
      <c r="B278" s="6">
        <f>E272*B274/E274</f>
        <v>10.971428571428572</v>
      </c>
      <c r="C278" s="6">
        <f>E272*C274/E274</f>
        <v>13.028571428571428</v>
      </c>
    </row>
    <row r="279" spans="1:5" x14ac:dyDescent="0.2">
      <c r="A279" s="26" t="s">
        <v>53</v>
      </c>
      <c r="B279" s="6">
        <f>E273*B274/E274</f>
        <v>21.028571428571428</v>
      </c>
      <c r="C279" s="6">
        <f>E273*C274/E274</f>
        <v>24.971428571428572</v>
      </c>
    </row>
    <row r="281" spans="1:5" x14ac:dyDescent="0.2">
      <c r="A281" s="27" t="s">
        <v>185</v>
      </c>
      <c r="B281" s="35">
        <f>(ABS(B272-B278)-0.5)^2/B278+(ABS(C272-C278)-0.5)^2/C278+(ABS(B273-B279)-0.5)^2/B279+(ABS(C273-C279)-0.5)^2/C279</f>
        <v>14.481602486174676</v>
      </c>
    </row>
    <row r="282" spans="1:5" x14ac:dyDescent="0.2">
      <c r="A282" s="27" t="s">
        <v>181</v>
      </c>
      <c r="B282" s="22">
        <v>1</v>
      </c>
    </row>
    <row r="283" spans="1:5" x14ac:dyDescent="0.2">
      <c r="A283" s="27" t="s">
        <v>182</v>
      </c>
      <c r="B283" s="35">
        <f>CHIINV(0.05,B282)</f>
        <v>3.8414588206941236</v>
      </c>
    </row>
    <row r="284" spans="1:5" x14ac:dyDescent="0.2">
      <c r="A284" s="27" t="s">
        <v>150</v>
      </c>
      <c r="B284" s="35">
        <f>CHIDIST(B281,B282)</f>
        <v>1.4153512708414635E-4</v>
      </c>
    </row>
    <row r="285" spans="1:5" x14ac:dyDescent="0.2">
      <c r="A285" s="33" t="s">
        <v>151</v>
      </c>
      <c r="B285" s="34" t="str">
        <f>IF(B284&lt;0.05,"Reject H0 (significant association)","Fail to reject H0 (no significant association)")</f>
        <v>Reject H0 (significant association)</v>
      </c>
    </row>
    <row r="288" spans="1:5" ht="16" x14ac:dyDescent="0.2">
      <c r="A288" s="29" t="s">
        <v>190</v>
      </c>
    </row>
    <row r="289" spans="1:5" x14ac:dyDescent="0.2">
      <c r="A289" s="32" t="s">
        <v>191</v>
      </c>
      <c r="B289" s="9" t="s">
        <v>49</v>
      </c>
      <c r="C289" s="9" t="s">
        <v>53</v>
      </c>
      <c r="D289" s="9" t="s">
        <v>62</v>
      </c>
      <c r="E289" s="9" t="s">
        <v>177</v>
      </c>
    </row>
    <row r="290" spans="1:5" x14ac:dyDescent="0.2">
      <c r="A290" s="26" t="s">
        <v>56</v>
      </c>
      <c r="B290" s="2">
        <f>COUNTIFS($AN$7:$AN$76,$D290,$AL$7:$AL$76,B$289)</f>
        <v>8</v>
      </c>
      <c r="C290" s="2">
        <f>COUNTIFS($AN$7:$AN$76,$D290,$AL$7:$AL$76,C$289)</f>
        <v>5</v>
      </c>
      <c r="D290" s="3" t="s">
        <v>56</v>
      </c>
      <c r="E290" s="2">
        <f>SUM(B290:C290)</f>
        <v>13</v>
      </c>
    </row>
    <row r="291" spans="1:5" x14ac:dyDescent="0.2">
      <c r="A291" s="26" t="s">
        <v>50</v>
      </c>
      <c r="B291" s="2">
        <f>COUNTIFS($AN$7:$AN$76,$D291,$AL$7:$AL$76,B$289)</f>
        <v>24</v>
      </c>
      <c r="C291" s="2">
        <f>COUNTIFS($AN$7:$AN$76,$D291,$AL$7:$AL$76,C$289)</f>
        <v>33</v>
      </c>
      <c r="D291" s="3" t="s">
        <v>50</v>
      </c>
      <c r="E291" s="2">
        <f>SUM(B291:C291)</f>
        <v>57</v>
      </c>
    </row>
    <row r="292" spans="1:5" x14ac:dyDescent="0.2">
      <c r="A292" s="27" t="s">
        <v>178</v>
      </c>
      <c r="B292" s="5">
        <f>SUM(B290:B291)</f>
        <v>32</v>
      </c>
      <c r="C292" s="5">
        <f>SUM(C290:C291)</f>
        <v>38</v>
      </c>
      <c r="D292" s="12"/>
      <c r="E292" s="5">
        <f>SUM(E290:E291)</f>
        <v>70</v>
      </c>
    </row>
    <row r="294" spans="1:5" x14ac:dyDescent="0.2">
      <c r="A294" s="27" t="s">
        <v>179</v>
      </c>
    </row>
    <row r="295" spans="1:5" x14ac:dyDescent="0.2">
      <c r="A295" s="32" t="s">
        <v>191</v>
      </c>
      <c r="B295" s="9" t="s">
        <v>49</v>
      </c>
      <c r="C295" s="9" t="s">
        <v>53</v>
      </c>
    </row>
    <row r="296" spans="1:5" x14ac:dyDescent="0.2">
      <c r="A296" s="26" t="s">
        <v>56</v>
      </c>
      <c r="B296" s="6">
        <f>E290*B292/E292</f>
        <v>5.9428571428571431</v>
      </c>
      <c r="C296" s="6">
        <f>E290*C292/E292</f>
        <v>7.0571428571428569</v>
      </c>
    </row>
    <row r="297" spans="1:5" x14ac:dyDescent="0.2">
      <c r="A297" s="26" t="s">
        <v>50</v>
      </c>
      <c r="B297" s="6">
        <f>E291*B292/E292</f>
        <v>26.057142857142857</v>
      </c>
      <c r="C297" s="6">
        <f>E291*C292/E292</f>
        <v>30.942857142857143</v>
      </c>
    </row>
    <row r="299" spans="1:5" x14ac:dyDescent="0.2">
      <c r="A299" s="27" t="s">
        <v>185</v>
      </c>
      <c r="B299" s="35">
        <f>(ABS(B290-B296)-0.5)^2/B296+(ABS(C290-C296)-0.5)^2/C296+(ABS(B291-B297)-0.5)^2/B297+(ABS(C291-C297)-0.5)^2/C297</f>
        <v>0.92299479721571109</v>
      </c>
    </row>
    <row r="300" spans="1:5" x14ac:dyDescent="0.2">
      <c r="A300" s="27" t="s">
        <v>181</v>
      </c>
      <c r="B300" s="22">
        <v>1</v>
      </c>
    </row>
    <row r="301" spans="1:5" x14ac:dyDescent="0.2">
      <c r="A301" s="27" t="s">
        <v>182</v>
      </c>
      <c r="B301" s="35">
        <f>CHIINV(0.05,B300)</f>
        <v>3.8414588206941236</v>
      </c>
    </row>
    <row r="302" spans="1:5" x14ac:dyDescent="0.2">
      <c r="A302" s="27" t="s">
        <v>150</v>
      </c>
      <c r="B302" s="35">
        <f>CHIDIST(B299,B300)</f>
        <v>0.33668986303451209</v>
      </c>
    </row>
    <row r="303" spans="1:5" x14ac:dyDescent="0.2">
      <c r="A303" s="33" t="s">
        <v>151</v>
      </c>
      <c r="B303" s="34" t="str">
        <f>IF(B302&lt;0.05,"Reject H0 (significant association)","Fail to reject H0 (no significant association)")</f>
        <v>Fail to reject H0 (no significant association)</v>
      </c>
    </row>
    <row r="306" spans="1:6" ht="24" customHeight="1" x14ac:dyDescent="0.2">
      <c r="A306" s="19" t="s">
        <v>192</v>
      </c>
      <c r="B306" s="20"/>
      <c r="C306" s="20"/>
      <c r="D306" s="20"/>
      <c r="E306" s="20"/>
      <c r="F306" s="20"/>
    </row>
    <row r="308" spans="1:6" x14ac:dyDescent="0.2">
      <c r="A308" s="17" t="s">
        <v>193</v>
      </c>
    </row>
    <row r="309" spans="1:6" ht="19.5" customHeight="1" x14ac:dyDescent="0.2">
      <c r="A309" s="21" t="s">
        <v>194</v>
      </c>
      <c r="B309" s="1" t="s">
        <v>195</v>
      </c>
      <c r="C309" s="1" t="s">
        <v>196</v>
      </c>
      <c r="D309" s="1" t="s">
        <v>197</v>
      </c>
      <c r="E309" s="1" t="s">
        <v>150</v>
      </c>
      <c r="F309" s="1" t="s">
        <v>151</v>
      </c>
    </row>
    <row r="310" spans="1:6" ht="30" customHeight="1" x14ac:dyDescent="0.2">
      <c r="A310" s="36" t="s">
        <v>198</v>
      </c>
      <c r="B310" s="13" t="s">
        <v>199</v>
      </c>
      <c r="C310" s="13" t="s">
        <v>200</v>
      </c>
      <c r="D310" s="13" t="str">
        <f>"F("&amp;C180&amp;","&amp;C181&amp;") = "&amp;TEXT(E181,"0.000")</f>
        <v>F(4,65) = 0.425</v>
      </c>
      <c r="E310" s="14">
        <f>G181</f>
        <v>0.790056653125084</v>
      </c>
      <c r="F310" s="13" t="str">
        <f>B184</f>
        <v>Fail to reject H0</v>
      </c>
    </row>
    <row r="311" spans="1:6" ht="30" customHeight="1" x14ac:dyDescent="0.2">
      <c r="A311" s="36" t="s">
        <v>201</v>
      </c>
      <c r="B311" s="13" t="s">
        <v>202</v>
      </c>
      <c r="C311" s="13" t="s">
        <v>200</v>
      </c>
      <c r="D311" s="13" t="str">
        <f>"F("&amp;C200&amp;","&amp;C201&amp;") = "&amp;TEXT(E201,"0.000")</f>
        <v>F(4,64) = 1.896</v>
      </c>
      <c r="E311" s="14">
        <f>G201</f>
        <v>0.12198246324548936</v>
      </c>
      <c r="F311" s="13" t="str">
        <f>B204</f>
        <v>Fail to reject H0</v>
      </c>
    </row>
    <row r="312" spans="1:6" ht="30" customHeight="1" x14ac:dyDescent="0.2">
      <c r="A312" s="36" t="s">
        <v>203</v>
      </c>
      <c r="B312" s="13" t="s">
        <v>204</v>
      </c>
      <c r="C312" s="13" t="s">
        <v>205</v>
      </c>
      <c r="D312" s="13" t="str">
        <f>"r = "&amp;TEXT(C162,"0.000")</f>
        <v>r = 0.432</v>
      </c>
      <c r="E312" s="14">
        <f t="shared" ref="E312:F314" si="15">F162</f>
        <v>1.8829979034340632E-4</v>
      </c>
      <c r="F312" s="13" t="str">
        <f t="shared" si="15"/>
        <v>Reject H0 (significant)</v>
      </c>
    </row>
    <row r="313" spans="1:6" ht="30" customHeight="1" x14ac:dyDescent="0.2">
      <c r="A313" s="36" t="s">
        <v>203</v>
      </c>
      <c r="B313" s="13" t="s">
        <v>206</v>
      </c>
      <c r="C313" s="13" t="s">
        <v>205</v>
      </c>
      <c r="D313" s="13" t="str">
        <f>"r = "&amp;TEXT(C163,"0.000")</f>
        <v>r = 0.460</v>
      </c>
      <c r="E313" s="14">
        <f t="shared" si="15"/>
        <v>6.2506973738420991E-5</v>
      </c>
      <c r="F313" s="13" t="str">
        <f t="shared" si="15"/>
        <v>Reject H0 (significant)</v>
      </c>
    </row>
    <row r="314" spans="1:6" ht="30" customHeight="1" x14ac:dyDescent="0.2">
      <c r="A314" s="36" t="s">
        <v>207</v>
      </c>
      <c r="B314" s="13" t="s">
        <v>208</v>
      </c>
      <c r="C314" s="13" t="s">
        <v>205</v>
      </c>
      <c r="D314" s="13" t="str">
        <f>"r = "&amp;TEXT(C164,"0.000")</f>
        <v>r = 0.168</v>
      </c>
      <c r="E314" s="14">
        <f t="shared" si="15"/>
        <v>0.16563459523272134</v>
      </c>
      <c r="F314" s="13" t="str">
        <f t="shared" si="15"/>
        <v>Fail to reject H0</v>
      </c>
    </row>
    <row r="315" spans="1:6" ht="30" customHeight="1" x14ac:dyDescent="0.2">
      <c r="A315" s="36" t="s">
        <v>209</v>
      </c>
      <c r="B315" s="13" t="s">
        <v>210</v>
      </c>
      <c r="C315" s="13" t="s">
        <v>211</v>
      </c>
      <c r="D315" s="13" t="str">
        <f>"Language Comfort (r="&amp;TEXT(C163,"0.000")&amp;") &amp; Cultural Experience (r="&amp;TEXT(C162,"0.000")&amp;") lead"</f>
        <v>Language Comfort (r=0.460) &amp; Cultural Experience (r=0.432) lead</v>
      </c>
      <c r="E315" s="13" t="s">
        <v>212</v>
      </c>
      <c r="F315" s="13" t="s">
        <v>213</v>
      </c>
    </row>
  </sheetData>
  <mergeCells count="18">
    <mergeCell ref="A187:G187"/>
    <mergeCell ref="A207:D207"/>
    <mergeCell ref="A306:F306"/>
    <mergeCell ref="A118:A122"/>
    <mergeCell ref="A126:H126"/>
    <mergeCell ref="A137:B137"/>
    <mergeCell ref="A156:G156"/>
    <mergeCell ref="A167:G167"/>
    <mergeCell ref="A94:A96"/>
    <mergeCell ref="A97:A101"/>
    <mergeCell ref="A102:A107"/>
    <mergeCell ref="A108:A112"/>
    <mergeCell ref="A113:A117"/>
    <mergeCell ref="A4:AT4"/>
    <mergeCell ref="A80:E80"/>
    <mergeCell ref="A83:A85"/>
    <mergeCell ref="A86:A90"/>
    <mergeCell ref="A91:A9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Coded Data and Full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KIRAN ANNIE KUNNATH</cp:lastModifiedBy>
  <cp:revision>0</cp:revision>
  <dcterms:created xsi:type="dcterms:W3CDTF">2026-09-09T15:51:30Z</dcterms:created>
  <dcterms:modified xsi:type="dcterms:W3CDTF">2026-09-09T15:55:39Z</dcterms:modified>
  <dc:language>en-US</dc:language>
</cp:coreProperties>
</file>